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6ae215354e0d63/Documents/data analysis project/"/>
    </mc:Choice>
  </mc:AlternateContent>
  <xr:revisionPtr revIDLastSave="68" documentId="8_{5C368407-869F-4423-BDC2-487E58C58CFA}" xr6:coauthVersionLast="47" xr6:coauthVersionMax="47" xr10:uidLastSave="{C31AF5A0-CB05-4AC1-810F-1CC539B5F7A4}"/>
  <bookViews>
    <workbookView xWindow="-108" yWindow="-108" windowWidth="23256" windowHeight="12456" activeTab="3" xr2:uid="{625D65A2-CE36-46FE-8F67-B4D11A75C7E0}"/>
  </bookViews>
  <sheets>
    <sheet name="Detail1" sheetId="3" r:id="rId1"/>
    <sheet name="insurance project" sheetId="1" r:id="rId2"/>
    <sheet name="Sheet1" sheetId="2" r:id="rId3"/>
    <sheet name="Sheet2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" l="1"/>
  <c r="I23" i="1"/>
  <c r="I20" i="1"/>
  <c r="I18" i="1"/>
  <c r="I15" i="1"/>
  <c r="I11" i="1"/>
  <c r="I7" i="1"/>
  <c r="I3" i="1"/>
</calcChain>
</file>

<file path=xl/sharedStrings.xml><?xml version="1.0" encoding="utf-8"?>
<sst xmlns="http://schemas.openxmlformats.org/spreadsheetml/2006/main" count="6044" uniqueCount="32">
  <si>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</si>
  <si>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</si>
  <si>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</si>
  <si>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</si>
  <si>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</si>
  <si>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</si>
  <si>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</si>
  <si>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</si>
  <si>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</si>
  <si>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</si>
  <si>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</si>
  <si>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</si>
  <si>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</si>
  <si>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</si>
  <si>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</si>
  <si>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Average age</t>
  </si>
  <si>
    <t>Maximum charge</t>
  </si>
  <si>
    <t>Minimum charge</t>
  </si>
  <si>
    <t>Average BMI</t>
  </si>
  <si>
    <t>basic statistics</t>
  </si>
  <si>
    <t>Count of male</t>
  </si>
  <si>
    <t>Count of female</t>
  </si>
  <si>
    <t>Count</t>
  </si>
  <si>
    <t>Smokers</t>
  </si>
  <si>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Smokers</t>
    </r>
  </si>
  <si>
    <t>Sum of age</t>
  </si>
  <si>
    <t>Row Labels</t>
  </si>
  <si>
    <t>Grand Total</t>
  </si>
  <si>
    <t>Sum of bmi</t>
  </si>
  <si>
    <t>Sum of children</t>
  </si>
  <si>
    <t>Sum of charges</t>
  </si>
  <si>
    <t>Details for Sum of age - sex: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</si>
</sst>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33" borderId="0" xfId="0" applyFont="1" applyFill="1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6" fillId="0" borderId="0" xfId="0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pro.xlsx]Sheet1!PivotTable1</c:name>
    <c:fmtId val="5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213648293963256"/>
          <c:y val="0.11009040536599592"/>
          <c:w val="0.6152333770778653"/>
          <c:h val="0.715004374453193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Sheet1!$A$4:$A$17</c:f>
              <c:multiLvlStrCache>
                <c:ptCount val="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</c:lvl>
                <c:lvl>
                  <c:pt idx="0">
                    <c:v>northeast</c:v>
                  </c:pt>
                  <c:pt idx="2">
                    <c:v>northwest</c:v>
                  </c:pt>
                  <c:pt idx="4">
                    <c:v>southeast</c:v>
                  </c:pt>
                  <c:pt idx="6">
                    <c:v>southwest</c:v>
                  </c:pt>
                </c:lvl>
                <c:lvl>
                  <c:pt idx="0">
                    <c:v>yes</c:v>
                  </c:pt>
                </c:lvl>
              </c:multiLvlStrCache>
            </c:multiLvlStrRef>
          </c:cat>
          <c:val>
            <c:numRef>
              <c:f>Sheet1!$B$4:$B$17</c:f>
              <c:numCache>
                <c:formatCode>General</c:formatCode>
                <c:ptCount val="8"/>
                <c:pt idx="0">
                  <c:v>1123</c:v>
                </c:pt>
                <c:pt idx="1">
                  <c:v>1439</c:v>
                </c:pt>
                <c:pt idx="2">
                  <c:v>1126</c:v>
                </c:pt>
                <c:pt idx="3">
                  <c:v>1155</c:v>
                </c:pt>
                <c:pt idx="4">
                  <c:v>1413</c:v>
                </c:pt>
                <c:pt idx="5">
                  <c:v>2203</c:v>
                </c:pt>
                <c:pt idx="6">
                  <c:v>778</c:v>
                </c:pt>
                <c:pt idx="7">
                  <c:v>1316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1-4BB9-ACB9-EB9DDA9E9D24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bmi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Sheet1!$A$4:$A$17</c:f>
              <c:multiLvlStrCache>
                <c:ptCount val="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</c:lvl>
                <c:lvl>
                  <c:pt idx="0">
                    <c:v>northeast</c:v>
                  </c:pt>
                  <c:pt idx="2">
                    <c:v>northwest</c:v>
                  </c:pt>
                  <c:pt idx="4">
                    <c:v>southeast</c:v>
                  </c:pt>
                  <c:pt idx="6">
                    <c:v>southwest</c:v>
                  </c:pt>
                </c:lvl>
                <c:lvl>
                  <c:pt idx="0">
                    <c:v>yes</c:v>
                  </c:pt>
                </c:lvl>
              </c:multiLvlStrCache>
            </c:multiLvlStrRef>
          </c:cat>
          <c:val>
            <c:numRef>
              <c:f>Sheet1!$C$4:$C$17</c:f>
              <c:numCache>
                <c:formatCode>General</c:formatCode>
                <c:ptCount val="8"/>
                <c:pt idx="0">
                  <c:v>790.59</c:v>
                </c:pt>
                <c:pt idx="1">
                  <c:v>1123.2799999999997</c:v>
                </c:pt>
                <c:pt idx="2">
                  <c:v>820.61</c:v>
                </c:pt>
                <c:pt idx="3">
                  <c:v>869.53500000000008</c:v>
                </c:pt>
                <c:pt idx="4">
                  <c:v>1161.0500000000002</c:v>
                </c:pt>
                <c:pt idx="5">
                  <c:v>1850.7500000000007</c:v>
                </c:pt>
                <c:pt idx="6">
                  <c:v>632.70000000000005</c:v>
                </c:pt>
                <c:pt idx="7">
                  <c:v>1165.6000000000001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41-4BB9-ACB9-EB9DDA9E9D24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children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Sheet1!$A$4:$A$17</c:f>
              <c:multiLvlStrCache>
                <c:ptCount val="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</c:lvl>
                <c:lvl>
                  <c:pt idx="0">
                    <c:v>northeast</c:v>
                  </c:pt>
                  <c:pt idx="2">
                    <c:v>northwest</c:v>
                  </c:pt>
                  <c:pt idx="4">
                    <c:v>southeast</c:v>
                  </c:pt>
                  <c:pt idx="6">
                    <c:v>southwest</c:v>
                  </c:pt>
                </c:lvl>
                <c:lvl>
                  <c:pt idx="0">
                    <c:v>yes</c:v>
                  </c:pt>
                </c:lvl>
              </c:multiLvlStrCache>
            </c:multiLvlStrRef>
          </c:cat>
          <c:val>
            <c:numRef>
              <c:f>Sheet1!$D$4:$D$17</c:f>
              <c:numCache>
                <c:formatCode>General</c:formatCode>
                <c:ptCount val="8"/>
                <c:pt idx="0">
                  <c:v>36</c:v>
                </c:pt>
                <c:pt idx="1">
                  <c:v>34</c:v>
                </c:pt>
                <c:pt idx="2">
                  <c:v>24</c:v>
                </c:pt>
                <c:pt idx="3">
                  <c:v>50</c:v>
                </c:pt>
                <c:pt idx="4">
                  <c:v>34</c:v>
                </c:pt>
                <c:pt idx="5">
                  <c:v>57</c:v>
                </c:pt>
                <c:pt idx="6">
                  <c:v>22</c:v>
                </c:pt>
                <c:pt idx="7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41-4BB9-ACB9-EB9DDA9E9D24}"/>
            </c:ext>
          </c:extLst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Sum of charges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Sheet1!$A$4:$A$17</c:f>
              <c:multiLvlStrCache>
                <c:ptCount val="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</c:lvl>
                <c:lvl>
                  <c:pt idx="0">
                    <c:v>northeast</c:v>
                  </c:pt>
                  <c:pt idx="2">
                    <c:v>northwest</c:v>
                  </c:pt>
                  <c:pt idx="4">
                    <c:v>southeast</c:v>
                  </c:pt>
                  <c:pt idx="6">
                    <c:v>southwest</c:v>
                  </c:pt>
                </c:lvl>
                <c:lvl>
                  <c:pt idx="0">
                    <c:v>yes</c:v>
                  </c:pt>
                </c:lvl>
              </c:multiLvlStrCache>
            </c:multiLvlStrRef>
          </c:cat>
          <c:val>
            <c:numRef>
              <c:f>Sheet1!$E$4:$E$17</c:f>
              <c:numCache>
                <c:formatCode>General</c:formatCode>
                <c:ptCount val="8"/>
                <c:pt idx="0">
                  <c:v>812929.34552999982</c:v>
                </c:pt>
                <c:pt idx="1">
                  <c:v>1175197.59815</c:v>
                </c:pt>
                <c:pt idx="2">
                  <c:v>860453.92341999989</c:v>
                </c:pt>
                <c:pt idx="3">
                  <c:v>890682.26116000023</c:v>
                </c:pt>
                <c:pt idx="4">
                  <c:v>1189253.5457899999</c:v>
                </c:pt>
                <c:pt idx="5">
                  <c:v>1981641.1651600001</c:v>
                </c:pt>
                <c:pt idx="6">
                  <c:v>665447.75703000021</c:v>
                </c:pt>
                <c:pt idx="7">
                  <c:v>1206157.9256000002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41-4BB9-ACB9-EB9DDA9E9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78789711"/>
        <c:axId val="578788751"/>
      </c:barChart>
      <c:catAx>
        <c:axId val="5787897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8788751"/>
        <c:crosses val="autoZero"/>
        <c:auto val="1"/>
        <c:lblAlgn val="ctr"/>
        <c:lblOffset val="100"/>
        <c:noMultiLvlLbl val="0"/>
      </c:catAx>
      <c:valAx>
        <c:axId val="57878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78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18143044619422"/>
          <c:y val="0.18974518810148733"/>
          <c:w val="0.20763013998250218"/>
          <c:h val="0.37976851851851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118110</xdr:rowOff>
    </xdr:from>
    <xdr:to>
      <xdr:col>7</xdr:col>
      <xdr:colOff>304800</xdr:colOff>
      <xdr:row>16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B45A98-C6B8-67C9-5997-4114D2B76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ishaa Sri .P" refreshedDate="46087.830543518518" createdVersion="8" refreshedVersion="8" minRefreshableVersion="3" recordCount="1338" xr:uid="{DAD92DAA-4C70-487E-9C5D-4AAD80BB4112}">
  <cacheSource type="worksheet">
    <worksheetSource ref="A1:G1339" sheet="insurance project"/>
  </cacheSource>
  <cacheFields count="7">
    <cacheField name="age" numFmtId="0">
      <sharedItems containsSemiMixedTypes="0" containsString="0" containsNumber="1" containsInteger="1" minValue="18" maxValue="64"/>
    </cacheField>
    <cacheField name="sex" numFmtId="0">
      <sharedItems count="2">
        <s v="female"/>
        <s v="male"/>
      </sharedItems>
    </cacheField>
    <cacheField name="bmi" numFmtId="0">
      <sharedItems containsSemiMixedTypes="0" containsString="0" containsNumber="1" minValue="15.96" maxValue="53.13" count="548">
        <n v="27.9"/>
        <n v="33.770000000000003"/>
        <n v="33"/>
        <n v="22.704999999999998"/>
        <n v="28.88"/>
        <n v="25.74"/>
        <n v="33.44"/>
        <n v="27.74"/>
        <n v="29.83"/>
        <n v="25.84"/>
        <n v="26.22"/>
        <n v="26.29"/>
        <n v="34.4"/>
        <n v="39.82"/>
        <n v="42.13"/>
        <n v="24.6"/>
        <n v="30.78"/>
        <n v="23.844999999999999"/>
        <n v="40.299999999999997"/>
        <n v="35.299999999999997"/>
        <n v="36.005000000000003"/>
        <n v="32.4"/>
        <n v="34.1"/>
        <n v="31.92"/>
        <n v="28.024999999999999"/>
        <n v="27.72"/>
        <n v="23.085000000000001"/>
        <n v="32.774999999999999"/>
        <n v="17.385000000000002"/>
        <n v="36.299999999999997"/>
        <n v="35.6"/>
        <n v="26.315000000000001"/>
        <n v="28.6"/>
        <n v="28.31"/>
        <n v="36.4"/>
        <n v="20.425000000000001"/>
        <n v="32.965000000000003"/>
        <n v="20.8"/>
        <n v="36.67"/>
        <n v="39.9"/>
        <n v="26.6"/>
        <n v="36.630000000000003"/>
        <n v="21.78"/>
        <n v="30.8"/>
        <n v="37.049999999999997"/>
        <n v="37.299999999999997"/>
        <n v="38.664999999999999"/>
        <n v="34.770000000000003"/>
        <n v="24.53"/>
        <n v="35.200000000000003"/>
        <n v="35.625"/>
        <n v="33.630000000000003"/>
        <n v="28"/>
        <n v="34.43"/>
        <n v="28.69"/>
        <n v="36.954999999999998"/>
        <n v="31.824999999999999"/>
        <n v="31.68"/>
        <n v="22.88"/>
        <n v="37.335000000000001"/>
        <n v="27.36"/>
        <n v="33.659999999999997"/>
        <n v="24.7"/>
        <n v="25.934999999999999"/>
        <n v="22.42"/>
        <n v="28.9"/>
        <n v="39.1"/>
        <n v="36.19"/>
        <n v="23.98"/>
        <n v="24.75"/>
        <n v="28.5"/>
        <n v="28.1"/>
        <n v="32.01"/>
        <n v="27.4"/>
        <n v="34.01"/>
        <n v="29.59"/>
        <n v="35.53"/>
        <n v="39.805"/>
        <n v="26.885000000000002"/>
        <n v="38.284999999999997"/>
        <n v="37.619999999999997"/>
        <n v="41.23"/>
        <n v="34.799999999999997"/>
        <n v="22.895"/>
        <n v="31.16"/>
        <n v="27.2"/>
        <n v="26.98"/>
        <n v="39.49"/>
        <n v="24.795000000000002"/>
        <n v="31.3"/>
        <n v="38.28"/>
        <n v="19.95"/>
        <n v="19.3"/>
        <n v="31.6"/>
        <n v="25.46"/>
        <n v="30.114999999999998"/>
        <n v="29.92"/>
        <n v="27.5"/>
        <n v="28.4"/>
        <n v="30.875"/>
        <n v="27.94"/>
        <n v="35.090000000000003"/>
        <n v="29.7"/>
        <n v="35.72"/>
        <n v="32.204999999999998"/>
        <n v="28.594999999999999"/>
        <n v="49.06"/>
        <n v="27.17"/>
        <n v="23.37"/>
        <n v="37.1"/>
        <n v="23.75"/>
        <n v="28.975000000000001"/>
        <n v="31.35"/>
        <n v="33.914999999999999"/>
        <n v="28.785"/>
        <n v="28.3"/>
        <n v="37.4"/>
        <n v="17.765000000000001"/>
        <n v="34.700000000000003"/>
        <n v="26.504999999999999"/>
        <n v="22.04"/>
        <n v="35.9"/>
        <n v="25.555"/>
        <n v="28.05"/>
        <n v="25.175000000000001"/>
        <n v="31.9"/>
        <n v="36"/>
        <n v="32.49"/>
        <n v="25.3"/>
        <n v="29.734999999999999"/>
        <n v="38.83"/>
        <n v="30.495000000000001"/>
        <n v="37.729999999999997"/>
        <n v="37.43"/>
        <n v="24.13"/>
        <n v="37.145000000000003"/>
        <n v="39.520000000000003"/>
        <n v="24.42"/>
        <n v="27.83"/>
        <n v="36.85"/>
        <n v="39.6"/>
        <n v="29.8"/>
        <n v="29.64"/>
        <n v="28.215"/>
        <n v="37"/>
        <n v="33.155000000000001"/>
        <n v="18.905000000000001"/>
        <n v="41.47"/>
        <n v="30.3"/>
        <n v="15.96"/>
        <n v="33.344999999999999"/>
        <n v="37.700000000000003"/>
        <n v="27.835000000000001"/>
        <n v="29.2"/>
        <n v="26.41"/>
        <n v="30.69"/>
        <n v="41.895000000000003"/>
        <n v="30.9"/>
        <n v="32.200000000000003"/>
        <n v="32.11"/>
        <n v="31.57"/>
        <n v="26.2"/>
        <n v="30.59"/>
        <n v="32.799999999999997"/>
        <n v="18.05"/>
        <n v="39.33"/>
        <n v="32.229999999999997"/>
        <n v="24.035"/>
        <n v="36.08"/>
        <n v="22.3"/>
        <n v="26.4"/>
        <n v="31.8"/>
        <n v="26.73"/>
        <n v="23.1"/>
        <n v="23.21"/>
        <n v="33.700000000000003"/>
        <n v="33.25"/>
        <n v="24.64"/>
        <n v="33.880000000000003"/>
        <n v="38.06"/>
        <n v="41.91"/>
        <n v="31.635000000000002"/>
        <n v="36.195"/>
        <n v="17.8"/>
        <n v="24.51"/>
        <n v="22.22"/>
        <n v="38.39"/>
        <n v="29.07"/>
        <n v="22.135000000000002"/>
        <n v="26.8"/>
        <n v="30.02"/>
        <n v="35.86"/>
        <n v="20.9"/>
        <n v="17.29"/>
        <n v="34.21"/>
        <n v="25.364999999999998"/>
        <n v="40.15"/>
        <n v="24.414999999999999"/>
        <n v="25.2"/>
        <n v="26.84"/>
        <n v="24.32"/>
        <n v="42.35"/>
        <n v="19.8"/>
        <n v="32.395000000000003"/>
        <n v="30.2"/>
        <n v="29.37"/>
        <n v="34.200000000000003"/>
        <n v="27.454999999999998"/>
        <n v="27.55"/>
        <n v="20.614999999999998"/>
        <n v="24.3"/>
        <n v="31.79"/>
        <n v="21.56"/>
        <n v="28.12"/>
        <n v="40.564999999999998"/>
        <n v="27.645"/>
        <n v="31.2"/>
        <n v="26.62"/>
        <n v="48.07"/>
        <n v="36.765000000000001"/>
        <n v="33.4"/>
        <n v="45.54"/>
        <n v="28.82"/>
        <n v="22.99"/>
        <n v="27.7"/>
        <n v="25.41"/>
        <n v="34.39"/>
        <n v="22.61"/>
        <n v="37.51"/>
        <n v="38"/>
        <n v="33.33"/>
        <n v="34.865000000000002"/>
        <n v="33.06"/>
        <n v="35.97"/>
        <n v="31.4"/>
        <n v="25.27"/>
        <n v="40.945"/>
        <n v="34.104999999999997"/>
        <n v="36.479999999999997"/>
        <n v="33.799999999999997"/>
        <n v="36.700000000000003"/>
        <n v="36.384999999999998"/>
        <n v="34.5"/>
        <n v="32.299999999999997"/>
        <n v="27.6"/>
        <n v="29.26"/>
        <n v="35.75"/>
        <n v="23.18"/>
        <n v="25.6"/>
        <n v="35.244999999999997"/>
        <n v="43.89"/>
        <n v="20.79"/>
        <n v="30.5"/>
        <n v="21.7"/>
        <n v="21.89"/>
        <n v="24.984999999999999"/>
        <n v="32.015000000000001"/>
        <n v="30.4"/>
        <n v="21.09"/>
        <n v="22.23"/>
        <n v="32.9"/>
        <n v="24.89"/>
        <n v="31.46"/>
        <n v="17.954999999999998"/>
        <n v="30.684999999999999"/>
        <n v="43.34"/>
        <n v="39.049999999999997"/>
        <n v="30.21"/>
        <n v="31.445"/>
        <n v="19.855"/>
        <n v="31.02"/>
        <n v="38.17"/>
        <n v="20.6"/>
        <n v="47.52"/>
        <n v="20.399999999999999"/>
        <n v="38.380000000000003"/>
        <n v="24.31"/>
        <n v="23.6"/>
        <n v="21.12"/>
        <n v="30.03"/>
        <n v="17.48"/>
        <n v="20.234999999999999"/>
        <n v="17.195"/>
        <n v="23.9"/>
        <n v="35.15"/>
        <n v="35.64"/>
        <n v="22.6"/>
        <n v="39.159999999999997"/>
        <n v="27.265000000000001"/>
        <n v="29.164999999999999"/>
        <n v="16.815000000000001"/>
        <n v="33.1"/>
        <n v="26.9"/>
        <n v="33.11"/>
        <n v="31.73"/>
        <n v="46.75"/>
        <n v="29.45"/>
        <n v="32.68"/>
        <n v="33.5"/>
        <n v="43.01"/>
        <n v="36.520000000000003"/>
        <n v="26.695"/>
        <n v="25.65"/>
        <n v="29.6"/>
        <n v="38.6"/>
        <n v="23.4"/>
        <n v="46.53"/>
        <n v="30.14"/>
        <n v="30"/>
        <n v="38.094999999999999"/>
        <n v="28.38"/>
        <n v="28.7"/>
        <n v="33.82"/>
        <n v="24.09"/>
        <n v="32.67"/>
        <n v="25.1"/>
        <n v="32.56"/>
        <n v="41.325000000000003"/>
        <n v="39.5"/>
        <n v="34.299999999999997"/>
        <n v="31.065000000000001"/>
        <n v="21.47"/>
        <n v="25.08"/>
        <n v="43.4"/>
        <n v="25.7"/>
        <n v="27.93"/>
        <n v="39.200000000000003"/>
        <n v="26.03"/>
        <n v="30.25"/>
        <n v="28.93"/>
        <n v="35.700000000000003"/>
        <n v="35.31"/>
        <n v="31"/>
        <n v="44.22"/>
        <n v="26.07"/>
        <n v="25.8"/>
        <n v="39.424999999999997"/>
        <n v="40.479999999999997"/>
        <n v="38.9"/>
        <n v="47.41"/>
        <n v="35.435000000000002"/>
        <n v="46.7"/>
        <n v="46.2"/>
        <n v="21.4"/>
        <n v="23.8"/>
        <n v="44.77"/>
        <n v="32.119999999999997"/>
        <n v="29.1"/>
        <n v="37.29"/>
        <n v="43.12"/>
        <n v="36.86"/>
        <n v="34.295000000000002"/>
        <n v="23.465"/>
        <n v="45.43"/>
        <n v="23.65"/>
        <n v="20.7"/>
        <n v="28.27"/>
        <n v="35.909999999999997"/>
        <n v="29"/>
        <n v="19.57"/>
        <n v="31.13"/>
        <n v="21.85"/>
        <n v="40.26"/>
        <n v="33.725000000000001"/>
        <n v="29.48"/>
        <n v="32.6"/>
        <n v="37.524999999999999"/>
        <n v="23.655000000000001"/>
        <n v="37.799999999999997"/>
        <n v="19"/>
        <n v="21.3"/>
        <n v="33.534999999999997"/>
        <n v="42.46"/>
        <n v="38.950000000000003"/>
        <n v="36.1"/>
        <n v="29.3"/>
        <n v="39.700000000000003"/>
        <n v="38.19"/>
        <n v="42.4"/>
        <n v="34.96"/>
        <n v="42.68"/>
        <n v="31.54"/>
        <n v="29.81"/>
        <n v="21.375"/>
        <n v="40.81"/>
        <n v="17.399999999999999"/>
        <n v="20.3"/>
        <n v="18.5"/>
        <n v="26.125"/>
        <n v="41.69"/>
        <n v="24.1"/>
        <n v="36.200000000000003"/>
        <n v="40.185000000000002"/>
        <n v="39.270000000000003"/>
        <n v="34.869999999999997"/>
        <n v="44.744999999999997"/>
        <n v="29.545000000000002"/>
        <n v="23.54"/>
        <n v="40.47"/>
        <n v="40.659999999999997"/>
        <n v="36.6"/>
        <n v="35.4"/>
        <n v="27.074999999999999"/>
        <n v="28.405000000000001"/>
        <n v="21.754999999999999"/>
        <n v="40.28"/>
        <n v="30.1"/>
        <n v="32.1"/>
        <n v="23.7"/>
        <n v="35.5"/>
        <n v="29.15"/>
        <n v="27"/>
        <n v="37.905000000000001"/>
        <n v="22.77"/>
        <n v="22.8"/>
        <n v="34.58"/>
        <n v="27.1"/>
        <n v="19.475000000000001"/>
        <n v="26.7"/>
        <n v="34.32"/>
        <n v="24.4"/>
        <n v="41.14"/>
        <n v="22.515000000000001"/>
        <n v="41.8"/>
        <n v="26.18"/>
        <n v="42.24"/>
        <n v="26.51"/>
        <n v="35.814999999999998"/>
        <n v="41.42"/>
        <n v="36.575000000000003"/>
        <n v="42.94"/>
        <n v="21.01"/>
        <n v="24.225000000000001"/>
        <n v="17.670000000000002"/>
        <n v="31.5"/>
        <n v="31.1"/>
        <n v="32.78"/>
        <n v="32.450000000000003"/>
        <n v="50.38"/>
        <n v="47.6"/>
        <n v="25.4"/>
        <n v="29.9"/>
        <n v="43.7"/>
        <n v="24.86"/>
        <n v="28.8"/>
        <n v="29.5"/>
        <n v="29.04"/>
        <n v="38.94"/>
        <n v="44"/>
        <n v="20.045000000000002"/>
        <n v="40.92"/>
        <n v="35.1"/>
        <n v="29.355"/>
        <n v="32.585000000000001"/>
        <n v="32.340000000000003"/>
        <n v="39.799999999999997"/>
        <n v="24.605"/>
        <n v="33.99"/>
        <n v="28.2"/>
        <n v="25"/>
        <n v="33.200000000000003"/>
        <n v="23.2"/>
        <n v="20.100000000000001"/>
        <n v="32.5"/>
        <n v="37.18"/>
        <n v="46.09"/>
        <n v="39.93"/>
        <n v="35.799999999999997"/>
        <n v="31.254999999999999"/>
        <n v="18.335000000000001"/>
        <n v="42.9"/>
        <n v="26.79"/>
        <n v="39.615000000000002"/>
        <n v="25.9"/>
        <n v="25.745000000000001"/>
        <n v="28.16"/>
        <n v="23.56"/>
        <n v="40.5"/>
        <n v="35.42"/>
        <n v="39.994999999999997"/>
        <n v="34.674999999999997"/>
        <n v="20.52"/>
        <n v="23.274999999999999"/>
        <n v="36.29"/>
        <n v="32.700000000000003"/>
        <n v="19.190000000000001"/>
        <n v="20.13"/>
        <n v="23.32"/>
        <n v="45.32"/>
        <n v="34.6"/>
        <n v="18.715"/>
        <n v="21.565000000000001"/>
        <n v="23"/>
        <n v="37.07"/>
        <n v="52.58"/>
        <n v="42.655000000000001"/>
        <n v="21.66"/>
        <n v="32"/>
        <n v="18.3"/>
        <n v="47.74"/>
        <n v="22.1"/>
        <n v="19.094999999999999"/>
        <n v="31.24"/>
        <n v="29.925000000000001"/>
        <n v="20.350000000000001"/>
        <n v="25.85"/>
        <n v="42.75"/>
        <n v="18.600000000000001"/>
        <n v="23.87"/>
        <n v="45.9"/>
        <n v="21.5"/>
        <n v="30.305"/>
        <n v="44.88"/>
        <n v="41.1"/>
        <n v="40.369999999999997"/>
        <n v="28.49"/>
        <n v="33.549999999999997"/>
        <n v="40.375"/>
        <n v="27.28"/>
        <n v="17.86"/>
        <n v="33.299999999999997"/>
        <n v="39.14"/>
        <n v="21.945"/>
        <n v="24.97"/>
        <n v="23.94"/>
        <n v="34.484999999999999"/>
        <n v="21.8"/>
        <n v="23.3"/>
        <n v="36.96"/>
        <n v="21.28"/>
        <n v="29.4"/>
        <n v="27.3"/>
        <n v="37.9"/>
        <n v="37.715000000000003"/>
        <n v="23.76"/>
        <n v="25.52"/>
        <n v="27.61"/>
        <n v="27.06"/>
        <n v="39.4"/>
        <n v="34.9"/>
        <n v="22"/>
        <n v="30.36"/>
        <n v="27.8"/>
        <n v="53.13"/>
        <n v="39.71"/>
        <n v="32.869999999999997"/>
        <n v="44.7"/>
        <n v="30.97"/>
      </sharedItems>
    </cacheField>
    <cacheField name="children" numFmtId="0">
      <sharedItems containsSemiMixedTypes="0" containsString="0" containsNumber="1" containsInteger="1" minValue="0" maxValue="5" count="6">
        <n v="0"/>
        <n v="1"/>
        <n v="3"/>
        <n v="2"/>
        <n v="5"/>
        <n v="4"/>
      </sharedItems>
    </cacheField>
    <cacheField name="smoker" numFmtId="0">
      <sharedItems count="2">
        <s v="yes"/>
        <s v="no"/>
      </sharedItems>
    </cacheField>
    <cacheField name="region" numFmtId="0">
      <sharedItems count="4">
        <s v="southwest"/>
        <s v="southeast"/>
        <s v="northwest"/>
        <s v="northeast"/>
      </sharedItems>
    </cacheField>
    <cacheField name="charges" numFmtId="0">
      <sharedItems containsSemiMixedTypes="0" containsString="0" containsNumber="1" minValue="1121.8739" maxValue="63770.428010000003" count="1337">
        <n v="16884.923999999999"/>
        <n v="1725.5523000000001"/>
        <n v="4449.4620000000004"/>
        <n v="21984.47061"/>
        <n v="3866.8552"/>
        <n v="3756.6215999999999"/>
        <n v="8240.5895999999993"/>
        <n v="7281.5056000000004"/>
        <n v="6406.4107000000004"/>
        <n v="28923.136920000001"/>
        <n v="2721.3208"/>
        <n v="27808.7251"/>
        <n v="1826.8430000000001"/>
        <n v="11090.7178"/>
        <n v="39611.757700000002"/>
        <n v="1837.2370000000001"/>
        <n v="10797.3362"/>
        <n v="2395.17155"/>
        <n v="10602.385"/>
        <n v="36837.466999999997"/>
        <n v="13228.846949999999"/>
        <n v="4149.7359999999999"/>
        <n v="1137.011"/>
        <n v="37701.876799999998"/>
        <n v="6203.90175"/>
        <n v="14001.1338"/>
        <n v="14451.835150000001"/>
        <n v="12268.632250000001"/>
        <n v="2775.1921499999999"/>
        <n v="38711"/>
        <n v="35585.576000000001"/>
        <n v="2198.1898500000002"/>
        <n v="4687.7969999999996"/>
        <n v="13770.097900000001"/>
        <n v="51194.559139999998"/>
        <n v="1625.4337499999999"/>
        <n v="15612.19335"/>
        <n v="2302.3000000000002"/>
        <n v="39774.276299999998"/>
        <n v="48173.360999999997"/>
        <n v="3046.0619999999999"/>
        <n v="4949.7587000000003"/>
        <n v="6272.4772000000003"/>
        <n v="6313.759"/>
        <n v="6079.6715000000004"/>
        <n v="20630.283510000001"/>
        <n v="3393.35635"/>
        <n v="3556.9223000000002"/>
        <n v="12629.896699999999"/>
        <n v="38709.175999999999"/>
        <n v="2211.1307499999998"/>
        <n v="3579.8287"/>
        <n v="23568.272000000001"/>
        <n v="37742.575700000001"/>
        <n v="8059.6791000000003"/>
        <n v="47496.494449999998"/>
        <n v="13607.36875"/>
        <n v="34303.167200000004"/>
        <n v="23244.790199999999"/>
        <n v="5989.5236500000001"/>
        <n v="8606.2173999999995"/>
        <n v="4504.6624000000002"/>
        <n v="30166.618170000002"/>
        <n v="4133.6416499999996"/>
        <n v="14711.7438"/>
        <n v="1743.2139999999999"/>
        <n v="14235.072"/>
        <n v="6389.3778499999999"/>
        <n v="5920.1040999999996"/>
        <n v="17663.144199999999"/>
        <n v="16577.779500000001"/>
        <n v="6799.4579999999996"/>
        <n v="11741.726000000001"/>
        <n v="11946.625899999999"/>
        <n v="7726.8540000000003"/>
        <n v="11356.660900000001"/>
        <n v="3947.4131000000002"/>
        <n v="1532.4697000000001"/>
        <n v="2755.0209500000001"/>
        <n v="6571.0243499999997"/>
        <n v="4441.2131499999996"/>
        <n v="7935.29115"/>
        <n v="37165.163800000002"/>
        <n v="11033.661700000001"/>
        <n v="39836.519"/>
        <n v="21098.554049999999"/>
        <n v="43578.939400000003"/>
        <n v="11073.175999999999"/>
        <n v="8026.6665999999996"/>
        <n v="11082.5772"/>
        <n v="2026.9740999999999"/>
        <n v="10942.13205"/>
        <n v="30184.936699999998"/>
        <n v="5729.0052999999998"/>
        <n v="47291.055"/>
        <n v="3766.8838000000001"/>
        <n v="12105.32"/>
        <n v="10226.2842"/>
        <n v="22412.648499999999"/>
        <n v="15820.699000000001"/>
        <n v="6186.1270000000004"/>
        <n v="3645.0893999999998"/>
        <n v="21344.846699999998"/>
        <n v="30942.191800000001"/>
        <n v="5003.8530000000001"/>
        <n v="17560.37975"/>
        <n v="2331.5189999999998"/>
        <n v="3877.3042500000001"/>
        <n v="2867.1196"/>
        <n v="47055.532099999997"/>
        <n v="10825.253699999999"/>
        <n v="11881.358"/>
        <n v="4646.759"/>
        <n v="2404.7338"/>
        <n v="11488.31695"/>
        <n v="30259.995559999999"/>
        <n v="11381.3254"/>
        <n v="19107.779600000002"/>
        <n v="8601.3292999999994"/>
        <n v="6686.4313000000002"/>
        <n v="7740.3370000000004"/>
        <n v="1705.6244999999999"/>
        <n v="2257.47525"/>
        <n v="39556.494500000001"/>
        <n v="10115.00885"/>
        <n v="3385.3991500000002"/>
        <n v="17081.080000000002"/>
        <n v="9634.5380000000005"/>
        <n v="32734.186300000001"/>
        <n v="6082.4049999999997"/>
        <n v="12815.444949999999"/>
        <n v="13616.3586"/>
        <n v="11163.567999999999"/>
        <n v="1632.5644500000001"/>
        <n v="2457.2111500000001"/>
        <n v="2155.6815000000001"/>
        <n v="1261.442"/>
        <n v="2045.68525"/>
        <n v="27322.73386"/>
        <n v="2166.732"/>
        <n v="27375.904780000001"/>
        <n v="3490.5491000000002"/>
        <n v="18972.494999999999"/>
        <n v="18157.876"/>
        <n v="20745.989099999999"/>
        <n v="5138.2566999999999"/>
        <n v="40720.551050000002"/>
        <n v="9877.6077000000005"/>
        <n v="10959.6947"/>
        <n v="1842.519"/>
        <n v="5125.2156999999997"/>
        <n v="7789.6350000000002"/>
        <n v="6334.3435499999996"/>
        <n v="19964.746299999999"/>
        <n v="7077.1894000000002"/>
        <n v="6948.7007999999996"/>
        <n v="21223.675800000001"/>
        <n v="15518.180249999999"/>
        <n v="36950.256699999998"/>
        <n v="19749.383379999999"/>
        <n v="21348.705999999998"/>
        <n v="36149.483500000002"/>
        <n v="10450.552"/>
        <n v="5152.134"/>
        <n v="5028.1466"/>
        <n v="10407.085849999999"/>
        <n v="4830.63"/>
        <n v="6128.79745"/>
        <n v="2719.2797500000001"/>
        <n v="4827.9049500000001"/>
        <n v="13405.390299999999"/>
        <n v="8116.68"/>
        <n v="1694.7963999999999"/>
        <n v="5246.0469999999996"/>
        <n v="2855.4375500000001"/>
        <n v="48824.45"/>
        <n v="6455.86265"/>
        <n v="10436.096"/>
        <n v="8823.2790000000005"/>
        <n v="8538.28845"/>
        <n v="11735.87905"/>
        <n v="1631.8212000000001"/>
        <n v="4005.4225000000001"/>
        <n v="7419.4778999999999"/>
        <n v="7731.4270999999999"/>
        <n v="43753.337050000002"/>
        <n v="3981.9767999999999"/>
        <n v="5325.6509999999998"/>
        <n v="6775.9610000000002"/>
        <n v="4922.9159"/>
        <n v="12557.605299999999"/>
        <n v="4883.866"/>
        <n v="2137.6536000000001"/>
        <n v="12044.342000000001"/>
        <n v="1137.4697000000001"/>
        <n v="1639.5631000000001"/>
        <n v="5649.7150000000001"/>
        <n v="8516.8289999999997"/>
        <n v="9644.2525000000005"/>
        <n v="14901.5167"/>
        <n v="2130.6759000000002"/>
        <n v="8871.1517000000003"/>
        <n v="13012.20865"/>
        <n v="37133.898200000003"/>
        <n v="7147.1049999999996"/>
        <n v="4337.7352000000001"/>
        <n v="11743.299000000001"/>
        <n v="20984.0936"/>
        <n v="13880.949000000001"/>
        <n v="6610.1097"/>
        <n v="1980.07"/>
        <n v="8162.7162500000004"/>
        <n v="3537.703"/>
        <n v="5002.7826999999997"/>
        <n v="8520.0259999999998"/>
        <n v="7371.7719999999999"/>
        <n v="10355.641"/>
        <n v="2483.7359999999999"/>
        <n v="3392.9767999999999"/>
        <n v="25081.76784"/>
        <n v="5012.4709999999995"/>
        <n v="10564.8845"/>
        <n v="5253.5240000000003"/>
        <n v="34779.614999999998"/>
        <n v="19515.5416"/>
        <n v="11987.1682"/>
        <n v="2689.4953999999998"/>
        <n v="24227.337240000001"/>
        <n v="7358.1756500000001"/>
        <n v="9225.2564000000002"/>
        <n v="7443.6430499999997"/>
        <n v="14001.286700000001"/>
        <n v="1727.7850000000001"/>
        <n v="12333.828"/>
        <n v="6710.1918999999998"/>
        <n v="19444.265800000001"/>
        <n v="1615.7666999999999"/>
        <n v="4463.2051000000001"/>
        <n v="17352.6803"/>
        <n v="7152.6714000000002"/>
        <n v="38511.628299999997"/>
        <n v="5354.0746499999996"/>
        <n v="35160.134570000002"/>
        <n v="7196.8670000000002"/>
        <n v="29523.1656"/>
        <n v="24476.478510000001"/>
        <n v="12648.7034"/>
        <n v="1986.9333999999999"/>
        <n v="1832.0940000000001"/>
        <n v="4040.55825"/>
        <n v="12829.455099999999"/>
        <n v="47305.305"/>
        <n v="44260.749900000003"/>
        <n v="4260.7439999999997"/>
        <n v="41097.161749999999"/>
        <n v="13047.332350000001"/>
        <n v="43921.183700000001"/>
        <n v="5400.9804999999997"/>
        <n v="11520.099850000001"/>
        <n v="33750.291799999999"/>
        <n v="11837.16"/>
        <n v="17085.267599999999"/>
        <n v="24869.836800000001"/>
        <n v="36219.405449999998"/>
        <n v="20462.997660000001"/>
        <n v="46151.124499999998"/>
        <n v="17179.522000000001"/>
        <n v="14590.63205"/>
        <n v="7441.0529999999999"/>
        <n v="9282.4806000000008"/>
        <n v="1719.4363000000001"/>
        <n v="42856.838000000003"/>
        <n v="7265.7025000000003"/>
        <n v="9617.6624499999998"/>
        <n v="2523.1695"/>
        <n v="9715.8410000000003"/>
        <n v="2803.69785"/>
        <n v="2150.4690000000001"/>
        <n v="12928.7911"/>
        <n v="9855.1314000000002"/>
        <n v="22331.566800000001"/>
        <n v="48549.178350000002"/>
        <n v="4237.12655"/>
        <n v="11879.10405"/>
        <n v="9625.92"/>
        <n v="7742.1098000000002"/>
        <n v="9432.9253000000008"/>
        <n v="14256.192800000001"/>
        <n v="47896.79135"/>
        <n v="25992.821039999999"/>
        <n v="3172.018"/>
        <n v="20277.807509999999"/>
        <n v="42112.2356"/>
        <n v="2156.7518"/>
        <n v="3906.127"/>
        <n v="1704.5681"/>
        <n v="16297.846"/>
        <n v="21978.676899999999"/>
        <n v="38746.355100000001"/>
        <n v="9249.4951999999994"/>
        <n v="6746.7425000000003"/>
        <n v="24873.384900000001"/>
        <n v="12265.5069"/>
        <n v="4349.4620000000004"/>
        <n v="12646.207"/>
        <n v="19442.353500000001"/>
        <n v="20177.671129999999"/>
        <n v="4151.0286999999998"/>
        <n v="11944.594349999999"/>
        <n v="7749.1563999999998"/>
        <n v="8444.4740000000002"/>
        <n v="1737.376"/>
        <n v="42124.515299999999"/>
        <n v="8124.4084000000003"/>
        <n v="34838.873"/>
        <n v="9722.7695000000003"/>
        <n v="8835.2649500000007"/>
        <n v="10435.06525"/>
        <n v="7421.1945500000002"/>
        <n v="4667.6076499999999"/>
        <n v="4894.7533000000003"/>
        <n v="24671.663339999999"/>
        <n v="35491.64"/>
        <n v="11566.30055"/>
        <n v="2866.0909999999999"/>
        <n v="6600.2059499999996"/>
        <n v="3561.8888999999999"/>
        <n v="42760.502200000003"/>
        <n v="47928.03"/>
        <n v="9144.5650000000005"/>
        <n v="48517.563150000002"/>
        <n v="24393.6224"/>
        <n v="13429.035400000001"/>
        <n v="11658.379150000001"/>
        <n v="19144.576519999999"/>
        <n v="13822.803"/>
        <n v="12142.578600000001"/>
        <n v="13937.666499999999"/>
        <n v="41919.097000000002"/>
        <n v="8232.6388000000006"/>
        <n v="18955.220170000001"/>
        <n v="13352.0998"/>
        <n v="13217.094499999999"/>
        <n v="13981.850350000001"/>
        <n v="10977.2063"/>
        <n v="6184.2993999999999"/>
        <n v="4889.9994999999999"/>
        <n v="8334.4575499999992"/>
        <n v="5478.0367999999999"/>
        <n v="1635.7336499999999"/>
        <n v="11830.6072"/>
        <n v="8932.0840000000007"/>
        <n v="3554.203"/>
        <n v="12404.8791"/>
        <n v="14133.03775"/>
        <n v="24603.04837"/>
        <n v="8944.1151000000009"/>
        <n v="9620.3307000000004"/>
        <n v="1837.2819"/>
        <n v="1607.5101"/>
        <n v="10043.249"/>
        <n v="4751.07"/>
        <n v="13844.505999999999"/>
        <n v="2597.779"/>
        <n v="3180.5101"/>
        <n v="9778.3472000000002"/>
        <n v="13430.264999999999"/>
        <n v="8017.0611500000005"/>
        <n v="8116.2688500000004"/>
        <n v="3481.8679999999999"/>
        <n v="13415.0381"/>
        <n v="12029.286700000001"/>
        <n v="7639.4174499999999"/>
        <n v="36085.218999999997"/>
        <n v="1391.5287000000001"/>
        <n v="18033.9679"/>
        <n v="21659.930100000001"/>
        <n v="38126.246500000001"/>
        <n v="16455.707849999999"/>
        <n v="27000.98473"/>
        <n v="15006.579449999999"/>
        <n v="42303.692150000003"/>
        <n v="20781.48892"/>
        <n v="5846.9175999999998"/>
        <n v="8302.5356499999998"/>
        <n v="1261.8589999999999"/>
        <n v="11856.4115"/>
        <n v="30284.642940000002"/>
        <n v="3176.8159000000001"/>
        <n v="4618.0798999999997"/>
        <n v="10736.87075"/>
        <n v="2138.0707000000002"/>
        <n v="8964.0605500000001"/>
        <n v="9290.1394999999993"/>
        <n v="9411.0049999999992"/>
        <n v="7526.7064499999997"/>
        <n v="8522.0030000000006"/>
        <n v="16586.49771"/>
        <n v="14988.432000000001"/>
        <n v="1631.6683"/>
        <n v="9264.7970000000005"/>
        <n v="8083.9197999999997"/>
        <n v="14692.66935"/>
        <n v="10269.459999999999"/>
        <n v="3260.1990000000001"/>
        <n v="11396.9002"/>
        <n v="4185.0978999999998"/>
        <n v="8539.6710000000003"/>
        <n v="6652.5288"/>
        <n v="4074.4537"/>
        <n v="1621.3402000000001"/>
        <n v="19594.809649999999"/>
        <n v="14455.644050000001"/>
        <n v="5080.0959999999995"/>
        <n v="2134.9014999999999"/>
        <n v="7345.7266"/>
        <n v="9140.9509999999991"/>
        <n v="18608.261999999999"/>
        <n v="14418.2804"/>
        <n v="28950.4692"/>
        <n v="46889.261200000001"/>
        <n v="46599.108399999997"/>
        <n v="39125.332249999999"/>
        <n v="2727.3951000000002"/>
        <n v="8968.33"/>
        <n v="9788.8659000000007"/>
        <n v="6555.07035"/>
        <n v="7323.7348190000002"/>
        <n v="3167.4558499999998"/>
        <n v="18804.752400000001"/>
        <n v="23082.955330000001"/>
        <n v="4906.4096499999996"/>
        <n v="5969.723"/>
        <n v="12638.195"/>
        <n v="4243.5900499999998"/>
        <n v="13919.822899999999"/>
        <n v="2254.7966999999999"/>
        <n v="5926.8459999999995"/>
        <n v="12592.5345"/>
        <n v="2897.3235"/>
        <n v="4738.2682000000004"/>
        <n v="37079.372000000003"/>
        <n v="1149.3959"/>
        <n v="28287.897659999999"/>
        <n v="26109.32905"/>
        <n v="7345.0839999999998"/>
        <n v="12730.999599999999"/>
        <n v="11454.021500000001"/>
        <n v="5910.9440000000004"/>
        <n v="4762.3289999999997"/>
        <n v="7512.2669999999998"/>
        <n v="4032.2406999999998"/>
        <n v="1969.614"/>
        <n v="1769.5316499999999"/>
        <n v="4686.3887000000004"/>
        <n v="21797.000400000001"/>
        <n v="11881.9696"/>
        <n v="11840.77505"/>
        <n v="10601.412"/>
        <n v="7682.67"/>
        <n v="10381.4787"/>
        <n v="22144.031999999999"/>
        <n v="15230.324049999999"/>
        <n v="11165.417649999999"/>
        <n v="1632.0362500000001"/>
        <n v="19521.968199999999"/>
        <n v="13224.692999999999"/>
        <n v="12643.3778"/>
        <n v="23288.928400000001"/>
        <n v="2201.0971"/>
        <n v="2497.0383000000002"/>
        <n v="2203.4718499999999"/>
        <n v="1744.4649999999999"/>
        <n v="20878.78443"/>
        <n v="25382.296999999999"/>
        <n v="28868.6639"/>
        <n v="35147.528480000001"/>
        <n v="2534.3937500000002"/>
        <n v="1534.3045"/>
        <n v="1824.2854"/>
        <n v="15555.188749999999"/>
        <n v="9304.7019"/>
        <n v="1622.1885"/>
        <n v="9880.0679999999993"/>
        <n v="9563.0290000000005"/>
        <n v="4347.0233500000004"/>
        <n v="12475.3513"/>
        <n v="1253.9359999999999"/>
        <n v="48885.135609999998"/>
        <n v="10461.9794"/>
        <n v="1748.7739999999999"/>
        <n v="24513.091260000001"/>
        <n v="2196.4731999999999"/>
        <n v="12574.049000000001"/>
        <n v="17942.106"/>
        <n v="1967.0227"/>
        <n v="4931.6469999999999"/>
        <n v="8027.9679999999998"/>
        <n v="8211.1002000000008"/>
        <n v="13470.86"/>
        <n v="36197.699000000001"/>
        <n v="6837.3687"/>
        <n v="22218.1149"/>
        <n v="32548.340499999998"/>
        <n v="5974.3846999999996"/>
        <n v="6796.8632500000003"/>
        <n v="2643.2685000000001"/>
        <n v="3077.0954999999999"/>
        <n v="3044.2132999999999"/>
        <n v="11455.28"/>
        <n v="11763.000899999999"/>
        <n v="2498.4144000000001"/>
        <n v="9361.3268000000007"/>
        <n v="1256.299"/>
        <n v="21082.16"/>
        <n v="11362.754999999999"/>
        <n v="27724.28875"/>
        <n v="8413.4630500000003"/>
        <n v="5240.7650000000003"/>
        <n v="3857.7592500000001"/>
        <n v="25656.575260000001"/>
        <n v="3994.1777999999999"/>
        <n v="9866.3048500000004"/>
        <n v="5397.6166999999996"/>
        <n v="38245.593269999998"/>
        <n v="11482.63485"/>
        <n v="24059.680189999999"/>
        <n v="9861.0249999999996"/>
        <n v="8342.9087500000005"/>
        <n v="1708.0014000000001"/>
        <n v="48675.517699999997"/>
        <n v="14043.476699999999"/>
        <n v="12925.886"/>
        <n v="19214.705529999999"/>
        <n v="13831.1152"/>
        <n v="6067.1267500000004"/>
        <n v="5972.3779999999997"/>
        <n v="8825.0859999999993"/>
        <n v="8233.0974999999999"/>
        <n v="27346.04207"/>
        <n v="6196.4480000000003"/>
        <n v="3056.3881000000001"/>
        <n v="13887.204"/>
        <n v="63770.428010000003"/>
        <n v="10231.499900000001"/>
        <n v="23807.240600000001"/>
        <n v="3268.84665"/>
        <n v="11538.421"/>
        <n v="3213.6220499999999"/>
        <n v="45863.205000000002"/>
        <n v="13390.558999999999"/>
        <n v="3972.9247"/>
        <n v="12957.118"/>
        <n v="11187.6567"/>
        <n v="17878.900679999999"/>
        <n v="3847.674"/>
        <n v="8334.5895999999993"/>
        <n v="3935.1799000000001"/>
        <n v="39983.425949999997"/>
        <n v="1646.4296999999999"/>
        <n v="9193.8384999999998"/>
        <n v="10923.933199999999"/>
        <n v="2494.0219999999999"/>
        <n v="9058.7302999999993"/>
        <n v="2801.2588000000001"/>
        <n v="2128.4310500000001"/>
        <n v="6373.55735"/>
        <n v="7256.7231000000002"/>
        <n v="11552.904"/>
        <n v="45702.022349999999"/>
        <n v="3761.2919999999999"/>
        <n v="2219.4450999999999"/>
        <n v="4753.6368000000002"/>
        <n v="31620.001059999999"/>
        <n v="13224.057049999999"/>
        <n v="12222.898300000001"/>
        <n v="1664.9996000000001"/>
        <n v="58571.074480000003"/>
        <n v="9724.5300000000007"/>
        <n v="3206.4913499999998"/>
        <n v="12913.992399999999"/>
        <n v="6356.2707"/>
        <n v="17626.239509999999"/>
        <n v="1242.816"/>
        <n v="4779.6022999999996"/>
        <n v="3861.2096499999998"/>
        <n v="43943.876100000001"/>
        <n v="13635.6379"/>
        <n v="5976.8311000000003"/>
        <n v="11842.441999999999"/>
        <n v="8428.0692999999992"/>
        <n v="2566.4706999999999"/>
        <n v="15359.104499999999"/>
        <n v="5709.1643999999997"/>
        <n v="8823.9857499999998"/>
        <n v="7640.3091999999997"/>
        <n v="5594.8455000000004"/>
        <n v="7441.5010000000002"/>
        <n v="33471.971890000001"/>
        <n v="1633.0444"/>
        <n v="9174.1356500000002"/>
        <n v="11070.535"/>
        <n v="16085.127500000001"/>
        <n v="17468.983899999999"/>
        <n v="9283.5619999999999"/>
        <n v="3558.6202499999999"/>
        <n v="25678.778450000002"/>
        <n v="4435.0941999999995"/>
        <n v="39241.442000000003"/>
        <n v="8547.6913000000004"/>
        <n v="6571.5439999999999"/>
        <n v="2207.6974500000001"/>
        <n v="6753.0379999999996"/>
        <n v="1880.07"/>
        <n v="42969.852700000003"/>
        <n v="11658.11505"/>
        <n v="23306.546999999999"/>
        <n v="34439.855900000002"/>
        <n v="10713.644"/>
        <n v="3659.346"/>
        <n v="40182.245999999999"/>
        <n v="9182.17"/>
        <n v="34617.840649999998"/>
        <n v="12129.614149999999"/>
        <n v="3736.4647"/>
        <n v="6748.5911999999998"/>
        <n v="11326.71487"/>
        <n v="11365.951999999999"/>
        <n v="42983.458500000001"/>
        <n v="10085.846"/>
        <n v="1977.8150000000001"/>
        <n v="3366.6696999999999"/>
        <n v="7173.35995"/>
        <n v="9391.3459999999995"/>
        <n v="14410.9321"/>
        <n v="2709.1118999999999"/>
        <n v="24915.046259999999"/>
        <n v="20149.322899999999"/>
        <n v="12949.1554"/>
        <n v="6666.2430000000004"/>
        <n v="32787.458590000002"/>
        <n v="13143.86485"/>
        <n v="4466.6214"/>
        <n v="18806.145469999999"/>
        <n v="10141.136200000001"/>
        <n v="6123.5688"/>
        <n v="8252.2842999999993"/>
        <n v="1712.2270000000001"/>
        <n v="12430.95335"/>
        <n v="9800.8881999999994"/>
        <n v="10579.710999999999"/>
        <n v="8280.6226999999999"/>
        <n v="8527.5319999999992"/>
        <n v="12244.531000000001"/>
        <n v="24667.419000000002"/>
        <n v="3410.3240000000001"/>
        <n v="4058.71245"/>
        <n v="26392.260289999998"/>
        <n v="14394.398150000001"/>
        <n v="6435.6237000000001"/>
        <n v="22192.437109999999"/>
        <n v="5148.5526"/>
        <n v="1136.3994"/>
        <n v="27037.914100000002"/>
        <n v="42560.430399999997"/>
        <n v="8703.4560000000001"/>
        <n v="40003.332249999999"/>
        <n v="45710.207849999999"/>
        <n v="6500.2358999999997"/>
        <n v="4837.5823"/>
        <n v="3943.5954000000002"/>
        <n v="4399.7309999999998"/>
        <n v="6185.3208000000004"/>
        <n v="46200.985099999998"/>
        <n v="7222.7862500000001"/>
        <n v="12485.8009"/>
        <n v="46130.5265"/>
        <n v="12363.547"/>
        <n v="10156.7832"/>
        <n v="2585.2689999999998"/>
        <n v="1242.26"/>
        <n v="40103.89"/>
        <n v="9863.4717999999993"/>
        <n v="4766.0219999999999"/>
        <n v="11244.376899999999"/>
        <n v="7729.6457499999997"/>
        <n v="5438.7491"/>
        <n v="26236.579969999999"/>
        <n v="34806.467700000001"/>
        <n v="2104.1134000000002"/>
        <n v="8068.1850000000004"/>
        <n v="2362.2290499999999"/>
        <n v="2352.9684499999998"/>
        <n v="3577.9989999999998"/>
        <n v="3201.2451500000002"/>
        <n v="29186.482360000002"/>
        <n v="40273.645499999999"/>
        <n v="10976.24575"/>
        <n v="3500.6122999999998"/>
        <n v="2020.5523000000001"/>
        <n v="9541.6955500000004"/>
        <n v="9504.3102999999992"/>
        <n v="5385.3379000000004"/>
        <n v="8930.9345499999999"/>
        <n v="5375.0379999999996"/>
        <n v="44400.4064"/>
        <n v="10264.4421"/>
        <n v="6113.2310500000003"/>
        <n v="5469.0065999999997"/>
        <n v="1727.54"/>
        <n v="10107.220600000001"/>
        <n v="8310.8391499999998"/>
        <n v="1984.4532999999999"/>
        <n v="2457.502"/>
        <n v="12146.971"/>
        <n v="9566.9909000000007"/>
        <n v="13112.604799999999"/>
        <n v="10848.1343"/>
        <n v="12231.613600000001"/>
        <n v="9875.6803999999993"/>
        <n v="11264.540999999999"/>
        <n v="12979.358"/>
        <n v="1263.249"/>
        <n v="10106.134249999999"/>
        <n v="40932.429499999998"/>
        <n v="6664.68595"/>
        <n v="16657.71745"/>
        <n v="2217.6012000000001"/>
        <n v="6781.3541999999998"/>
        <n v="19361.998800000001"/>
        <n v="10065.413"/>
        <n v="4234.9269999999997"/>
        <n v="9447.2503500000003"/>
        <n v="14007.222"/>
        <n v="9583.8932999999997"/>
        <n v="40419.019099999998"/>
        <n v="3484.3310000000001"/>
        <n v="36189.101699999999"/>
        <n v="44585.455869999998"/>
        <n v="8604.4836500000001"/>
        <n v="18246.495500000001"/>
        <n v="43254.417950000003"/>
        <n v="3757.8447999999999"/>
        <n v="8827.2098999999998"/>
        <n v="9910.3598500000007"/>
        <n v="11737.848840000001"/>
        <n v="1627.2824499999999"/>
        <n v="8556.9069999999992"/>
        <n v="3062.5082499999999"/>
        <n v="19539.242999999999"/>
        <n v="1906.35825"/>
        <n v="14210.53595"/>
        <n v="11833.782300000001"/>
        <n v="17128.426080000001"/>
        <n v="5031.26955"/>
        <n v="7985.8149999999996"/>
        <n v="23065.420699999999"/>
        <n v="5428.7277000000004"/>
        <n v="36307.798300000002"/>
        <n v="3925.7582000000002"/>
        <n v="2416.9549999999999"/>
        <n v="19040.876"/>
        <n v="3070.8087"/>
        <n v="9095.0682500000003"/>
        <n v="11842.623750000001"/>
        <n v="8062.7640000000001"/>
        <n v="7050.6419999999998"/>
        <n v="14319.031000000001"/>
        <n v="6933.2422500000002"/>
        <n v="27941.28758"/>
        <n v="11150.78"/>
        <n v="12797.20962"/>
        <n v="17748.5062"/>
        <n v="7261.741"/>
        <n v="10560.4917"/>
        <n v="6986.6970000000001"/>
        <n v="7448.4039499999999"/>
        <n v="5934.3797999999997"/>
        <n v="9869.8101999999999"/>
        <n v="18259.216"/>
        <n v="1146.7965999999999"/>
        <n v="9386.1612999999998"/>
        <n v="24520.263999999999"/>
        <n v="4350.5144"/>
        <n v="6414.1779999999999"/>
        <n v="12741.167450000001"/>
        <n v="1917.3184000000001"/>
        <n v="5209.5788499999999"/>
        <n v="13457.960800000001"/>
        <n v="5662.2250000000004"/>
        <n v="1252.4069999999999"/>
        <n v="2731.9122000000002"/>
        <n v="21195.817999999999"/>
        <n v="7209.4917999999998"/>
        <n v="18310.741999999998"/>
        <n v="4266.1657999999998"/>
        <n v="4719.52405"/>
        <n v="11848.141"/>
        <n v="17904.527050000001"/>
        <n v="7046.7222000000002"/>
        <n v="14313.846299999999"/>
        <n v="2103.08"/>
        <n v="38792.685599999997"/>
        <n v="1815.8759"/>
        <n v="7731.8578500000003"/>
        <n v="28476.734990000001"/>
        <n v="2136.8822500000001"/>
        <n v="1131.5065999999999"/>
        <n v="3309.7926000000002"/>
        <n v="9414.92"/>
        <n v="6360.9935999999998"/>
        <n v="11013.7119"/>
        <n v="4428.8878500000001"/>
        <n v="5584.3056999999999"/>
        <n v="1877.9294"/>
        <n v="2842.7607499999999"/>
        <n v="3597.596"/>
        <n v="23401.30575"/>
        <n v="55135.402090000003"/>
        <n v="7445.9179999999997"/>
        <n v="2680.9493000000002"/>
        <n v="1621.8827000000001"/>
        <n v="8219.2039000000004"/>
        <n v="12523.604799999999"/>
        <n v="16069.08475"/>
        <n v="43813.866099999999"/>
        <n v="20773.62775"/>
        <n v="39597.407200000001"/>
        <n v="6117.4944999999998"/>
        <n v="13393.755999999999"/>
        <n v="5266.3656000000001"/>
        <n v="4719.7365499999996"/>
        <n v="11743.9341"/>
        <n v="5377.4578000000001"/>
        <n v="7160.3302999999996"/>
        <n v="4402.2330000000002"/>
        <n v="11657.7189"/>
        <n v="6402.2913500000004"/>
        <n v="12622.1795"/>
        <n v="1526.3119999999999"/>
        <n v="12323.936"/>
        <n v="36021.011200000001"/>
        <n v="27533.912899999999"/>
        <n v="10072.055050000001"/>
        <n v="45008.955499999996"/>
        <n v="9872.7009999999991"/>
        <n v="2438.0551999999998"/>
        <n v="2974.1260000000002"/>
        <n v="10601.632250000001"/>
        <n v="37270.1512"/>
        <n v="14119.62"/>
        <n v="42111.664700000001"/>
        <n v="11729.6795"/>
        <n v="24106.912550000001"/>
        <n v="1875.3440000000001"/>
        <n v="40974.164900000003"/>
        <n v="15817.985699999999"/>
        <n v="18218.161390000001"/>
        <n v="10965.446"/>
        <n v="46113.510999999999"/>
        <n v="7151.0919999999996"/>
        <n v="12269.68865"/>
        <n v="5458.0464499999998"/>
        <n v="8782.4689999999991"/>
        <n v="6600.3609999999999"/>
        <n v="1141.4450999999999"/>
        <n v="11576.13"/>
        <n v="13129.603450000001"/>
        <n v="4391.652"/>
        <n v="8457.8179999999993"/>
        <n v="3392.3652000000002"/>
        <n v="5966.8873999999996"/>
        <n v="6849.0259999999998"/>
        <n v="8891.1394999999993"/>
        <n v="2690.1138000000001"/>
        <n v="26140.3603"/>
        <n v="6653.7885999999999"/>
        <n v="6282.2349999999997"/>
        <n v="6311.9520000000002"/>
        <n v="3443.0639999999999"/>
        <n v="2789.0574000000001"/>
        <n v="2585.8506499999999"/>
        <n v="46255.112500000003"/>
        <n v="4877.9810500000003"/>
        <n v="19719.6947"/>
        <n v="27218.437249999999"/>
        <n v="5272.1758"/>
        <n v="1682.597"/>
        <n v="11945.1327"/>
        <n v="29330.98315"/>
        <n v="7243.8136000000004"/>
        <n v="10422.916649999999"/>
        <n v="44202.653599999998"/>
        <n v="13555.0049"/>
        <n v="13063.883"/>
        <n v="19798.054550000001"/>
        <n v="2221.5644499999999"/>
        <n v="1634.5734"/>
        <n v="2117.3388500000001"/>
        <n v="8688.8588500000005"/>
        <n v="48673.558799999999"/>
        <n v="4661.2863500000003"/>
        <n v="8125.7844999999998"/>
        <n v="12644.589"/>
        <n v="4564.1914500000003"/>
        <n v="4846.9201499999999"/>
        <n v="7633.7205999999996"/>
        <n v="15170.069"/>
        <n v="17496.306"/>
        <n v="2639.0428999999999"/>
        <n v="33732.686699999998"/>
        <n v="14382.709049999999"/>
        <n v="7626.9930000000004"/>
        <n v="5257.5079500000002"/>
        <n v="2473.3341"/>
        <n v="21774.32215"/>
        <n v="35069.374519999998"/>
        <n v="13041.921"/>
        <n v="5245.2268999999997"/>
        <n v="13451.121999999999"/>
        <n v="13462.52"/>
        <n v="5488.2619999999997"/>
        <n v="4320.4108500000002"/>
        <n v="6250.4350000000004"/>
        <n v="25333.332839999999"/>
        <n v="2913.569"/>
        <n v="12032.325999999999"/>
        <n v="13470.804400000001"/>
        <n v="6289.7548999999999"/>
        <n v="2927.0646999999999"/>
        <n v="6238.2979999999998"/>
        <n v="10096.969999999999"/>
        <n v="7348.1419999999998"/>
        <n v="4673.3922000000002"/>
        <n v="12233.828"/>
        <n v="32108.662820000001"/>
        <n v="8965.7957499999993"/>
        <n v="2304.0021999999999"/>
        <n v="9487.6442000000006"/>
        <n v="1121.8739"/>
        <n v="9549.5650999999998"/>
        <n v="2217.4691499999999"/>
        <n v="1628.4709"/>
        <n v="12982.8747"/>
        <n v="11674.13"/>
        <n v="7160.0940000000001"/>
        <n v="39047.285000000003"/>
        <n v="6358.7764500000003"/>
        <n v="19933.457999999999"/>
        <n v="11534.872649999999"/>
        <n v="47462.894"/>
        <n v="4527.1829500000003"/>
        <n v="38998.546000000002"/>
        <n v="20009.63365"/>
        <n v="3875.7341000000001"/>
        <n v="41999.519999999997"/>
        <n v="12609.88702"/>
        <n v="41034.221400000002"/>
        <n v="28468.919010000001"/>
        <n v="2730.1078499999999"/>
        <n v="3353.2840000000001"/>
        <n v="14474.674999999999"/>
        <n v="9500.5730500000009"/>
        <n v="26467.09737"/>
        <n v="4746.3440000000001"/>
        <n v="23967.38305"/>
        <n v="7518.0253499999999"/>
        <n v="3279.8685500000001"/>
        <n v="8596.8277999999991"/>
        <n v="10702.642400000001"/>
        <n v="4992.3764000000001"/>
        <n v="2527.8186500000002"/>
        <n v="1759.338"/>
        <n v="2322.6217999999999"/>
        <n v="16138.762049999999"/>
        <n v="7804.1605"/>
        <n v="2902.9065000000001"/>
        <n v="9704.6680500000002"/>
        <n v="4889.0367999999999"/>
        <n v="25517.11363"/>
        <n v="4500.33925"/>
        <n v="19199.944"/>
        <n v="16796.411940000002"/>
        <n v="4915.0598499999996"/>
        <n v="7624.63"/>
        <n v="8410.0468500000006"/>
        <n v="28340.188849999999"/>
        <n v="4518.8262500000001"/>
        <n v="14571.890799999999"/>
        <n v="3378.91"/>
        <n v="7144.86265"/>
        <n v="10118.424000000001"/>
        <n v="5484.4673000000003"/>
        <n v="16420.494549999999"/>
        <n v="7986.4752500000004"/>
        <n v="7418.5219999999999"/>
        <n v="13887.968500000001"/>
        <n v="6551.7501000000002"/>
        <n v="5267.8181500000001"/>
        <n v="17361.766100000001"/>
        <n v="34472.841"/>
        <n v="1972.95"/>
        <n v="21232.182260000001"/>
        <n v="8627.5411000000004"/>
        <n v="4433.3877000000002"/>
        <n v="4438.2633999999998"/>
        <n v="24915.220850000002"/>
        <n v="23241.47453"/>
        <n v="9957.7216000000008"/>
        <n v="8269.0439999999999"/>
        <n v="18767.737700000001"/>
        <n v="36580.282160000002"/>
        <n v="8765.2489999999998"/>
        <n v="5383.5360000000001"/>
        <n v="12124.992399999999"/>
        <n v="2709.24395"/>
        <n v="3987.9259999999999"/>
        <n v="12495.290849999999"/>
        <n v="26018.950519999999"/>
        <n v="8798.5930000000008"/>
        <n v="35595.589800000002"/>
        <n v="42211.138200000001"/>
        <n v="1711.0268000000001"/>
        <n v="8569.8618000000006"/>
        <n v="2020.1769999999999"/>
        <n v="16450.894700000001"/>
        <n v="21595.382290000001"/>
        <n v="9850.4320000000007"/>
        <n v="6877.9800999999998"/>
        <n v="21677.283449999999"/>
        <n v="44423.803"/>
        <n v="4137.5227000000004"/>
        <n v="13747.87235"/>
        <n v="12950.0712"/>
        <n v="12094.477999999999"/>
        <n v="37484.4493"/>
        <n v="39725.518049999999"/>
        <n v="2250.8352"/>
        <n v="22493.659640000002"/>
        <n v="20234.854749999999"/>
        <n v="1704.7001499999999"/>
        <n v="33475.817150000003"/>
        <n v="3161.4540000000002"/>
        <n v="11394.065549999999"/>
        <n v="21880.82"/>
        <n v="7325.0482000000002"/>
        <n v="44501.398200000003"/>
        <n v="3594.17085"/>
        <n v="39727.614000000001"/>
        <n v="8023.1354499999998"/>
        <n v="14394.5579"/>
        <n v="9288.0267000000003"/>
        <n v="25309.489000000001"/>
        <n v="3353.4703"/>
        <n v="10594.501550000001"/>
        <n v="8277.5229999999992"/>
        <n v="17929.303370000001"/>
        <n v="2480.9791"/>
        <n v="4462.7218000000003"/>
        <n v="1981.5818999999999"/>
        <n v="11554.223599999999"/>
        <n v="48970.247600000002"/>
        <n v="6548.1950500000003"/>
        <n v="5708.8670000000002"/>
        <n v="7045.4989999999998"/>
        <n v="8978.1851000000006"/>
        <n v="5757.41345"/>
        <n v="14349.8544"/>
        <n v="10928.849"/>
        <n v="39871.704299999998"/>
        <n v="13974.455550000001"/>
        <n v="1909.52745"/>
        <n v="12096.6512"/>
        <n v="13204.28565"/>
        <n v="4562.8420999999998"/>
        <n v="8551.3469999999998"/>
        <n v="2102.2647000000002"/>
        <n v="34672.147199999999"/>
        <n v="15161.5344"/>
        <n v="11884.048580000001"/>
        <n v="4454.40265"/>
        <n v="5855.9025000000001"/>
        <n v="4076.4969999999998"/>
        <n v="15019.760050000001"/>
        <n v="19023.259999999998"/>
        <n v="10796.35025"/>
        <n v="11353.2276"/>
        <n v="9748.9105999999992"/>
        <n v="10577.087"/>
        <n v="41676.081100000003"/>
        <n v="11286.538699999999"/>
        <n v="3591.48"/>
        <n v="33907.548000000003"/>
        <n v="11299.343000000001"/>
        <n v="4561.1885000000002"/>
        <n v="44641.197399999997"/>
        <n v="1674.6323"/>
        <n v="23045.566159999998"/>
        <n v="3227.1210999999998"/>
        <n v="16776.304049999999"/>
        <n v="11253.421"/>
        <n v="3471.4096"/>
        <n v="11363.2832"/>
        <n v="20420.604650000001"/>
        <n v="10338.9316"/>
        <n v="8988.1587500000005"/>
        <n v="10493.9458"/>
        <n v="2904.0880000000002"/>
        <n v="8605.3615000000009"/>
        <n v="11512.405000000001"/>
        <n v="41949.244100000004"/>
        <n v="24180.933499999999"/>
        <n v="5312.1698500000002"/>
        <n v="2396.0958999999998"/>
        <n v="10807.4863"/>
        <n v="9222.4025999999994"/>
        <n v="36124.573700000001"/>
        <n v="38282.749499999998"/>
        <n v="5693.4305000000004"/>
        <n v="34166.273000000001"/>
        <n v="8347.1643000000004"/>
        <n v="46661.4424"/>
        <n v="18903.491409999999"/>
        <n v="40904.199500000002"/>
        <n v="14254.608200000001"/>
        <n v="10214.636"/>
        <n v="5836.5204000000003"/>
        <n v="14358.364369999999"/>
        <n v="1728.8969999999999"/>
        <n v="8582.3022999999994"/>
        <n v="3693.4279999999999"/>
        <n v="20709.020339999999"/>
        <n v="9991.0376500000002"/>
        <n v="19673.335729999999"/>
        <n v="11085.586799999999"/>
        <n v="7623.518"/>
        <n v="3176.2876999999999"/>
        <n v="3704.3544999999999"/>
        <n v="36898.733079999998"/>
        <n v="9048.0272999999997"/>
        <n v="7954.5169999999998"/>
        <n v="27117.993780000001"/>
        <n v="6338.0756000000001"/>
        <n v="9630.3970000000008"/>
        <n v="11289.10925"/>
        <n v="52590.829389999999"/>
        <n v="2261.5688"/>
        <n v="10791.96"/>
        <n v="5979.7309999999998"/>
        <n v="2203.7359499999998"/>
        <n v="12235.8392"/>
        <n v="40941.285400000001"/>
        <n v="5630.4578499999998"/>
        <n v="11015.1747"/>
        <n v="7228.2156500000001"/>
        <n v="39722.746200000001"/>
        <n v="14426.073850000001"/>
        <n v="2459.7201"/>
        <n v="3989.8409999999999"/>
        <n v="7727.2532000000001"/>
        <n v="5124.1886999999997"/>
        <n v="18963.171920000001"/>
        <n v="2200.8308499999998"/>
        <n v="7153.5538999999999"/>
        <n v="5227.9887500000004"/>
        <n v="10982.5013"/>
        <n v="4529.4769999999999"/>
        <n v="4670.6400000000003"/>
        <n v="6112.3529500000004"/>
        <n v="17178.682400000002"/>
        <n v="22478.6"/>
        <n v="11093.6229"/>
        <n v="6457.8433999999997"/>
        <n v="4433.9159"/>
        <n v="2154.3609999999999"/>
        <n v="23887.662700000001"/>
        <n v="6496.8860000000004"/>
        <n v="2899.4893499999998"/>
        <n v="19350.368900000001"/>
        <n v="7650.7737500000003"/>
        <n v="2850.6837500000001"/>
        <n v="2632.9920000000002"/>
        <n v="9447.3824000000004"/>
        <n v="18328.238099999999"/>
        <n v="8603.8233999999993"/>
        <n v="37465.34375"/>
        <n v="13844.797200000001"/>
        <n v="21771.3423"/>
        <n v="13126.677449999999"/>
        <n v="5327.4002499999997"/>
        <n v="13725.47184"/>
        <n v="13019.161050000001"/>
        <n v="8671.1912499999999"/>
        <n v="4134.0824499999999"/>
        <n v="18838.703659999999"/>
        <n v="33307.550799999997"/>
        <n v="5699.8374999999996"/>
        <n v="6393.6034499999996"/>
        <n v="4934.7049999999999"/>
        <n v="6198.7518"/>
        <n v="8733.2292500000003"/>
        <n v="2055.3249000000001"/>
        <n v="9964.06"/>
        <n v="18223.4512"/>
        <n v="5116.5003999999999"/>
        <n v="36910.608030000003"/>
        <n v="38415.474000000002"/>
        <n v="20296.863450000001"/>
        <n v="12347.172"/>
        <n v="5373.3642499999996"/>
        <n v="23563.016179999999"/>
        <n v="1702.4553000000001"/>
        <n v="10806.839"/>
        <n v="3956.0714499999999"/>
        <n v="12890.057650000001"/>
        <n v="5415.6611999999996"/>
        <n v="4058.1161000000002"/>
        <n v="41661.601999999999"/>
        <n v="7537.1638999999996"/>
        <n v="4718.2035500000002"/>
        <n v="6593.5083000000004"/>
        <n v="8442.6669999999995"/>
        <n v="26125.674770000001"/>
        <n v="6858.4795999999997"/>
        <n v="4795.6567999999997"/>
        <n v="6640.5448500000002"/>
        <n v="7162.0122000000001"/>
        <n v="10594.225700000001"/>
        <n v="11938.255950000001"/>
        <n v="60021.398970000002"/>
        <n v="20167.336029999999"/>
        <n v="12479.70895"/>
        <n v="11345.519"/>
        <n v="8515.7587000000003"/>
        <n v="2699.56835"/>
        <n v="14449.8544"/>
        <n v="12224.350850000001"/>
        <n v="6985.50695"/>
        <n v="3238.4357"/>
        <n v="47269.853999999999"/>
        <n v="49577.662400000001"/>
        <n v="4296.2712000000001"/>
        <n v="3171.6149"/>
        <n v="1135.9407000000001"/>
        <n v="5615.3689999999997"/>
        <n v="9101.7980000000007"/>
        <n v="6059.1729999999998"/>
        <n v="1633.9618"/>
        <n v="37607.527699999999"/>
        <n v="18648.421699999999"/>
        <n v="1241.5650000000001"/>
        <n v="16232.847"/>
        <n v="15828.82173"/>
        <n v="4415.1588000000002"/>
        <n v="6474.0129999999999"/>
        <n v="11436.738149999999"/>
        <n v="11305.93455"/>
        <n v="30063.580549999999"/>
        <n v="10197.772199999999"/>
        <n v="4544.2348000000002"/>
        <n v="3277.1610000000001"/>
        <n v="6770.1925000000001"/>
        <n v="7337.7479999999996"/>
        <n v="10370.912549999999"/>
        <n v="26926.5144"/>
        <n v="10704.47"/>
        <n v="34254.053350000002"/>
        <n v="1880.4870000000001"/>
        <n v="8615.2999999999993"/>
        <n v="3292.5298499999999"/>
        <n v="3021.80915"/>
        <n v="14478.33015"/>
        <n v="4747.0528999999997"/>
        <n v="17043.341400000001"/>
        <n v="10959.33"/>
        <n v="2741.9479999999999"/>
        <n v="4357.0436499999996"/>
        <n v="22462.043750000001"/>
        <n v="4189.1130999999996"/>
        <n v="8283.6807000000008"/>
        <n v="24535.698550000001"/>
        <n v="14283.4594"/>
        <n v="1720.3536999999999"/>
        <n v="47403.88"/>
        <n v="8534.6718000000001"/>
        <n v="3732.6251000000002"/>
        <n v="5472.4489999999996"/>
        <n v="38344.565999999999"/>
        <n v="7147.4727999999996"/>
        <n v="7133.9025000000001"/>
        <n v="34828.654000000002"/>
        <n v="1515.3449000000001"/>
        <n v="9301.8935500000007"/>
        <n v="11931.125249999999"/>
        <n v="1964.78"/>
        <n v="1708.9257500000001"/>
        <n v="4340.4408999999996"/>
        <n v="5261.4694499999996"/>
        <n v="2710.8285500000002"/>
        <n v="62592.873090000001"/>
        <n v="46718.163249999998"/>
        <n v="3208.7869999999998"/>
        <n v="37829.724199999997"/>
        <n v="21259.377949999998"/>
        <n v="2464.6188000000002"/>
        <n v="16115.3045"/>
        <n v="21472.478800000001"/>
        <n v="33900.652999999998"/>
        <n v="6875.9610000000002"/>
        <n v="6940.90985"/>
        <n v="4571.4130500000001"/>
        <n v="4536.259"/>
        <n v="36397.576000000001"/>
        <n v="18765.87545"/>
        <n v="11272.331389999999"/>
        <n v="1731.6769999999999"/>
        <n v="1163.4627"/>
        <n v="19496.71917"/>
        <n v="7201.7008500000002"/>
        <n v="5425.0233500000004"/>
        <n v="28101.333050000001"/>
        <n v="12981.3457"/>
        <n v="43896.376300000004"/>
        <n v="4239.8926499999998"/>
        <n v="13143.336649999999"/>
        <n v="7050.0213000000003"/>
        <n v="9377.9046999999991"/>
        <n v="22395.74424"/>
        <n v="10325.206"/>
        <n v="12629.1656"/>
        <n v="10795.937330000001"/>
        <n v="11411.684999999999"/>
        <n v="10600.5483"/>
        <n v="2205.9807999999998"/>
        <n v="1629.8335"/>
        <n v="2007.9449999999999"/>
        <n v="29141.3603"/>
      </sharedItems>
    </cacheField>
  </cacheFields>
  <extLst>
    <ext xmlns:x14="http://schemas.microsoft.com/office/spreadsheetml/2009/9/main" uri="{725AE2AE-9491-48be-B2B4-4EB974FC3084}">
      <x14:pivotCacheDefinition pivotCacheId="6681953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n v="19"/>
    <x v="0"/>
    <x v="0"/>
    <x v="0"/>
    <x v="0"/>
    <x v="0"/>
    <x v="0"/>
  </r>
  <r>
    <n v="18"/>
    <x v="1"/>
    <x v="1"/>
    <x v="1"/>
    <x v="1"/>
    <x v="1"/>
    <x v="1"/>
  </r>
  <r>
    <n v="28"/>
    <x v="1"/>
    <x v="2"/>
    <x v="2"/>
    <x v="1"/>
    <x v="1"/>
    <x v="2"/>
  </r>
  <r>
    <n v="33"/>
    <x v="1"/>
    <x v="3"/>
    <x v="0"/>
    <x v="1"/>
    <x v="2"/>
    <x v="3"/>
  </r>
  <r>
    <n v="32"/>
    <x v="1"/>
    <x v="4"/>
    <x v="0"/>
    <x v="1"/>
    <x v="2"/>
    <x v="4"/>
  </r>
  <r>
    <n v="31"/>
    <x v="0"/>
    <x v="5"/>
    <x v="0"/>
    <x v="1"/>
    <x v="1"/>
    <x v="5"/>
  </r>
  <r>
    <n v="46"/>
    <x v="0"/>
    <x v="6"/>
    <x v="1"/>
    <x v="1"/>
    <x v="1"/>
    <x v="6"/>
  </r>
  <r>
    <n v="37"/>
    <x v="0"/>
    <x v="7"/>
    <x v="2"/>
    <x v="1"/>
    <x v="2"/>
    <x v="7"/>
  </r>
  <r>
    <n v="37"/>
    <x v="1"/>
    <x v="8"/>
    <x v="3"/>
    <x v="1"/>
    <x v="3"/>
    <x v="8"/>
  </r>
  <r>
    <n v="60"/>
    <x v="0"/>
    <x v="9"/>
    <x v="0"/>
    <x v="1"/>
    <x v="2"/>
    <x v="9"/>
  </r>
  <r>
    <n v="25"/>
    <x v="1"/>
    <x v="10"/>
    <x v="0"/>
    <x v="1"/>
    <x v="3"/>
    <x v="10"/>
  </r>
  <r>
    <n v="62"/>
    <x v="0"/>
    <x v="11"/>
    <x v="0"/>
    <x v="0"/>
    <x v="1"/>
    <x v="11"/>
  </r>
  <r>
    <n v="23"/>
    <x v="1"/>
    <x v="12"/>
    <x v="0"/>
    <x v="1"/>
    <x v="0"/>
    <x v="12"/>
  </r>
  <r>
    <n v="56"/>
    <x v="0"/>
    <x v="13"/>
    <x v="0"/>
    <x v="1"/>
    <x v="1"/>
    <x v="13"/>
  </r>
  <r>
    <n v="27"/>
    <x v="1"/>
    <x v="14"/>
    <x v="0"/>
    <x v="0"/>
    <x v="1"/>
    <x v="14"/>
  </r>
  <r>
    <n v="19"/>
    <x v="1"/>
    <x v="15"/>
    <x v="1"/>
    <x v="1"/>
    <x v="0"/>
    <x v="15"/>
  </r>
  <r>
    <n v="52"/>
    <x v="0"/>
    <x v="16"/>
    <x v="1"/>
    <x v="1"/>
    <x v="3"/>
    <x v="16"/>
  </r>
  <r>
    <n v="23"/>
    <x v="1"/>
    <x v="17"/>
    <x v="0"/>
    <x v="1"/>
    <x v="3"/>
    <x v="17"/>
  </r>
  <r>
    <n v="56"/>
    <x v="1"/>
    <x v="18"/>
    <x v="0"/>
    <x v="1"/>
    <x v="0"/>
    <x v="18"/>
  </r>
  <r>
    <n v="30"/>
    <x v="1"/>
    <x v="19"/>
    <x v="0"/>
    <x v="0"/>
    <x v="0"/>
    <x v="19"/>
  </r>
  <r>
    <n v="60"/>
    <x v="0"/>
    <x v="20"/>
    <x v="0"/>
    <x v="1"/>
    <x v="3"/>
    <x v="20"/>
  </r>
  <r>
    <n v="30"/>
    <x v="0"/>
    <x v="21"/>
    <x v="1"/>
    <x v="1"/>
    <x v="0"/>
    <x v="21"/>
  </r>
  <r>
    <n v="18"/>
    <x v="1"/>
    <x v="22"/>
    <x v="0"/>
    <x v="1"/>
    <x v="1"/>
    <x v="22"/>
  </r>
  <r>
    <n v="34"/>
    <x v="0"/>
    <x v="23"/>
    <x v="1"/>
    <x v="0"/>
    <x v="3"/>
    <x v="23"/>
  </r>
  <r>
    <n v="37"/>
    <x v="1"/>
    <x v="24"/>
    <x v="3"/>
    <x v="1"/>
    <x v="2"/>
    <x v="24"/>
  </r>
  <r>
    <n v="59"/>
    <x v="0"/>
    <x v="25"/>
    <x v="2"/>
    <x v="1"/>
    <x v="1"/>
    <x v="25"/>
  </r>
  <r>
    <n v="63"/>
    <x v="0"/>
    <x v="26"/>
    <x v="0"/>
    <x v="1"/>
    <x v="3"/>
    <x v="26"/>
  </r>
  <r>
    <n v="55"/>
    <x v="0"/>
    <x v="27"/>
    <x v="3"/>
    <x v="1"/>
    <x v="2"/>
    <x v="27"/>
  </r>
  <r>
    <n v="23"/>
    <x v="1"/>
    <x v="28"/>
    <x v="1"/>
    <x v="1"/>
    <x v="2"/>
    <x v="28"/>
  </r>
  <r>
    <n v="31"/>
    <x v="1"/>
    <x v="29"/>
    <x v="3"/>
    <x v="0"/>
    <x v="0"/>
    <x v="29"/>
  </r>
  <r>
    <n v="22"/>
    <x v="1"/>
    <x v="30"/>
    <x v="0"/>
    <x v="0"/>
    <x v="0"/>
    <x v="30"/>
  </r>
  <r>
    <n v="18"/>
    <x v="0"/>
    <x v="31"/>
    <x v="0"/>
    <x v="1"/>
    <x v="3"/>
    <x v="31"/>
  </r>
  <r>
    <n v="19"/>
    <x v="0"/>
    <x v="32"/>
    <x v="4"/>
    <x v="1"/>
    <x v="0"/>
    <x v="32"/>
  </r>
  <r>
    <n v="63"/>
    <x v="1"/>
    <x v="33"/>
    <x v="0"/>
    <x v="1"/>
    <x v="2"/>
    <x v="33"/>
  </r>
  <r>
    <n v="28"/>
    <x v="1"/>
    <x v="34"/>
    <x v="1"/>
    <x v="0"/>
    <x v="0"/>
    <x v="34"/>
  </r>
  <r>
    <n v="19"/>
    <x v="1"/>
    <x v="35"/>
    <x v="0"/>
    <x v="1"/>
    <x v="2"/>
    <x v="35"/>
  </r>
  <r>
    <n v="62"/>
    <x v="0"/>
    <x v="36"/>
    <x v="2"/>
    <x v="1"/>
    <x v="2"/>
    <x v="36"/>
  </r>
  <r>
    <n v="26"/>
    <x v="1"/>
    <x v="37"/>
    <x v="0"/>
    <x v="1"/>
    <x v="0"/>
    <x v="37"/>
  </r>
  <r>
    <n v="35"/>
    <x v="1"/>
    <x v="38"/>
    <x v="1"/>
    <x v="0"/>
    <x v="3"/>
    <x v="38"/>
  </r>
  <r>
    <n v="60"/>
    <x v="1"/>
    <x v="39"/>
    <x v="0"/>
    <x v="0"/>
    <x v="0"/>
    <x v="39"/>
  </r>
  <r>
    <n v="24"/>
    <x v="0"/>
    <x v="40"/>
    <x v="0"/>
    <x v="1"/>
    <x v="3"/>
    <x v="40"/>
  </r>
  <r>
    <n v="31"/>
    <x v="0"/>
    <x v="41"/>
    <x v="3"/>
    <x v="1"/>
    <x v="1"/>
    <x v="41"/>
  </r>
  <r>
    <n v="41"/>
    <x v="1"/>
    <x v="42"/>
    <x v="1"/>
    <x v="1"/>
    <x v="1"/>
    <x v="42"/>
  </r>
  <r>
    <n v="37"/>
    <x v="0"/>
    <x v="43"/>
    <x v="3"/>
    <x v="1"/>
    <x v="1"/>
    <x v="43"/>
  </r>
  <r>
    <n v="38"/>
    <x v="1"/>
    <x v="44"/>
    <x v="1"/>
    <x v="1"/>
    <x v="3"/>
    <x v="44"/>
  </r>
  <r>
    <n v="55"/>
    <x v="1"/>
    <x v="45"/>
    <x v="0"/>
    <x v="1"/>
    <x v="0"/>
    <x v="45"/>
  </r>
  <r>
    <n v="18"/>
    <x v="0"/>
    <x v="46"/>
    <x v="3"/>
    <x v="1"/>
    <x v="3"/>
    <x v="46"/>
  </r>
  <r>
    <n v="28"/>
    <x v="0"/>
    <x v="47"/>
    <x v="0"/>
    <x v="1"/>
    <x v="2"/>
    <x v="47"/>
  </r>
  <r>
    <n v="60"/>
    <x v="0"/>
    <x v="48"/>
    <x v="0"/>
    <x v="1"/>
    <x v="1"/>
    <x v="48"/>
  </r>
  <r>
    <n v="36"/>
    <x v="1"/>
    <x v="49"/>
    <x v="1"/>
    <x v="0"/>
    <x v="1"/>
    <x v="49"/>
  </r>
  <r>
    <n v="18"/>
    <x v="0"/>
    <x v="50"/>
    <x v="0"/>
    <x v="1"/>
    <x v="3"/>
    <x v="50"/>
  </r>
  <r>
    <n v="21"/>
    <x v="0"/>
    <x v="51"/>
    <x v="3"/>
    <x v="1"/>
    <x v="2"/>
    <x v="51"/>
  </r>
  <r>
    <n v="48"/>
    <x v="1"/>
    <x v="52"/>
    <x v="1"/>
    <x v="0"/>
    <x v="0"/>
    <x v="52"/>
  </r>
  <r>
    <n v="36"/>
    <x v="1"/>
    <x v="53"/>
    <x v="0"/>
    <x v="0"/>
    <x v="1"/>
    <x v="53"/>
  </r>
  <r>
    <n v="40"/>
    <x v="0"/>
    <x v="54"/>
    <x v="2"/>
    <x v="1"/>
    <x v="2"/>
    <x v="54"/>
  </r>
  <r>
    <n v="58"/>
    <x v="1"/>
    <x v="55"/>
    <x v="3"/>
    <x v="0"/>
    <x v="2"/>
    <x v="55"/>
  </r>
  <r>
    <n v="58"/>
    <x v="0"/>
    <x v="56"/>
    <x v="3"/>
    <x v="1"/>
    <x v="3"/>
    <x v="56"/>
  </r>
  <r>
    <n v="18"/>
    <x v="1"/>
    <x v="57"/>
    <x v="3"/>
    <x v="0"/>
    <x v="1"/>
    <x v="57"/>
  </r>
  <r>
    <n v="53"/>
    <x v="0"/>
    <x v="58"/>
    <x v="1"/>
    <x v="0"/>
    <x v="1"/>
    <x v="58"/>
  </r>
  <r>
    <n v="34"/>
    <x v="0"/>
    <x v="59"/>
    <x v="3"/>
    <x v="1"/>
    <x v="2"/>
    <x v="59"/>
  </r>
  <r>
    <n v="43"/>
    <x v="1"/>
    <x v="60"/>
    <x v="2"/>
    <x v="1"/>
    <x v="3"/>
    <x v="60"/>
  </r>
  <r>
    <n v="25"/>
    <x v="1"/>
    <x v="61"/>
    <x v="5"/>
    <x v="1"/>
    <x v="1"/>
    <x v="61"/>
  </r>
  <r>
    <n v="64"/>
    <x v="1"/>
    <x v="62"/>
    <x v="1"/>
    <x v="1"/>
    <x v="2"/>
    <x v="62"/>
  </r>
  <r>
    <n v="28"/>
    <x v="0"/>
    <x v="63"/>
    <x v="1"/>
    <x v="1"/>
    <x v="2"/>
    <x v="63"/>
  </r>
  <r>
    <n v="20"/>
    <x v="0"/>
    <x v="64"/>
    <x v="0"/>
    <x v="0"/>
    <x v="2"/>
    <x v="64"/>
  </r>
  <r>
    <n v="19"/>
    <x v="0"/>
    <x v="65"/>
    <x v="0"/>
    <x v="1"/>
    <x v="0"/>
    <x v="65"/>
  </r>
  <r>
    <n v="61"/>
    <x v="0"/>
    <x v="66"/>
    <x v="3"/>
    <x v="1"/>
    <x v="0"/>
    <x v="66"/>
  </r>
  <r>
    <n v="40"/>
    <x v="1"/>
    <x v="31"/>
    <x v="1"/>
    <x v="1"/>
    <x v="2"/>
    <x v="67"/>
  </r>
  <r>
    <n v="40"/>
    <x v="0"/>
    <x v="67"/>
    <x v="0"/>
    <x v="1"/>
    <x v="1"/>
    <x v="68"/>
  </r>
  <r>
    <n v="28"/>
    <x v="1"/>
    <x v="68"/>
    <x v="2"/>
    <x v="0"/>
    <x v="1"/>
    <x v="69"/>
  </r>
  <r>
    <n v="27"/>
    <x v="0"/>
    <x v="69"/>
    <x v="0"/>
    <x v="0"/>
    <x v="1"/>
    <x v="70"/>
  </r>
  <r>
    <n v="31"/>
    <x v="1"/>
    <x v="70"/>
    <x v="4"/>
    <x v="1"/>
    <x v="3"/>
    <x v="71"/>
  </r>
  <r>
    <n v="53"/>
    <x v="0"/>
    <x v="71"/>
    <x v="2"/>
    <x v="1"/>
    <x v="0"/>
    <x v="72"/>
  </r>
  <r>
    <n v="58"/>
    <x v="1"/>
    <x v="72"/>
    <x v="1"/>
    <x v="1"/>
    <x v="1"/>
    <x v="73"/>
  </r>
  <r>
    <n v="44"/>
    <x v="1"/>
    <x v="73"/>
    <x v="3"/>
    <x v="1"/>
    <x v="0"/>
    <x v="74"/>
  </r>
  <r>
    <n v="57"/>
    <x v="1"/>
    <x v="74"/>
    <x v="0"/>
    <x v="1"/>
    <x v="2"/>
    <x v="75"/>
  </r>
  <r>
    <n v="29"/>
    <x v="0"/>
    <x v="75"/>
    <x v="1"/>
    <x v="1"/>
    <x v="1"/>
    <x v="76"/>
  </r>
  <r>
    <n v="21"/>
    <x v="1"/>
    <x v="76"/>
    <x v="0"/>
    <x v="1"/>
    <x v="1"/>
    <x v="77"/>
  </r>
  <r>
    <n v="22"/>
    <x v="0"/>
    <x v="77"/>
    <x v="0"/>
    <x v="1"/>
    <x v="3"/>
    <x v="78"/>
  </r>
  <r>
    <n v="41"/>
    <x v="0"/>
    <x v="36"/>
    <x v="0"/>
    <x v="1"/>
    <x v="2"/>
    <x v="79"/>
  </r>
  <r>
    <n v="31"/>
    <x v="1"/>
    <x v="78"/>
    <x v="1"/>
    <x v="1"/>
    <x v="3"/>
    <x v="80"/>
  </r>
  <r>
    <n v="45"/>
    <x v="0"/>
    <x v="79"/>
    <x v="0"/>
    <x v="1"/>
    <x v="3"/>
    <x v="81"/>
  </r>
  <r>
    <n v="22"/>
    <x v="1"/>
    <x v="80"/>
    <x v="1"/>
    <x v="0"/>
    <x v="1"/>
    <x v="82"/>
  </r>
  <r>
    <n v="48"/>
    <x v="0"/>
    <x v="81"/>
    <x v="5"/>
    <x v="1"/>
    <x v="2"/>
    <x v="83"/>
  </r>
  <r>
    <n v="37"/>
    <x v="0"/>
    <x v="82"/>
    <x v="3"/>
    <x v="0"/>
    <x v="0"/>
    <x v="84"/>
  </r>
  <r>
    <n v="45"/>
    <x v="1"/>
    <x v="83"/>
    <x v="3"/>
    <x v="0"/>
    <x v="2"/>
    <x v="85"/>
  </r>
  <r>
    <n v="57"/>
    <x v="0"/>
    <x v="84"/>
    <x v="0"/>
    <x v="0"/>
    <x v="2"/>
    <x v="86"/>
  </r>
  <r>
    <n v="56"/>
    <x v="0"/>
    <x v="85"/>
    <x v="0"/>
    <x v="1"/>
    <x v="0"/>
    <x v="87"/>
  </r>
  <r>
    <n v="46"/>
    <x v="0"/>
    <x v="7"/>
    <x v="0"/>
    <x v="1"/>
    <x v="2"/>
    <x v="88"/>
  </r>
  <r>
    <n v="55"/>
    <x v="0"/>
    <x v="86"/>
    <x v="0"/>
    <x v="1"/>
    <x v="2"/>
    <x v="89"/>
  </r>
  <r>
    <n v="21"/>
    <x v="0"/>
    <x v="87"/>
    <x v="0"/>
    <x v="1"/>
    <x v="1"/>
    <x v="90"/>
  </r>
  <r>
    <n v="53"/>
    <x v="0"/>
    <x v="88"/>
    <x v="1"/>
    <x v="1"/>
    <x v="2"/>
    <x v="91"/>
  </r>
  <r>
    <n v="59"/>
    <x v="1"/>
    <x v="8"/>
    <x v="2"/>
    <x v="0"/>
    <x v="3"/>
    <x v="92"/>
  </r>
  <r>
    <n v="35"/>
    <x v="1"/>
    <x v="47"/>
    <x v="3"/>
    <x v="1"/>
    <x v="2"/>
    <x v="93"/>
  </r>
  <r>
    <n v="64"/>
    <x v="0"/>
    <x v="89"/>
    <x v="3"/>
    <x v="0"/>
    <x v="0"/>
    <x v="94"/>
  </r>
  <r>
    <n v="28"/>
    <x v="0"/>
    <x v="80"/>
    <x v="1"/>
    <x v="1"/>
    <x v="1"/>
    <x v="95"/>
  </r>
  <r>
    <n v="54"/>
    <x v="0"/>
    <x v="43"/>
    <x v="2"/>
    <x v="1"/>
    <x v="0"/>
    <x v="96"/>
  </r>
  <r>
    <n v="55"/>
    <x v="1"/>
    <x v="90"/>
    <x v="0"/>
    <x v="1"/>
    <x v="1"/>
    <x v="97"/>
  </r>
  <r>
    <n v="56"/>
    <x v="1"/>
    <x v="91"/>
    <x v="0"/>
    <x v="0"/>
    <x v="3"/>
    <x v="98"/>
  </r>
  <r>
    <n v="38"/>
    <x v="1"/>
    <x v="92"/>
    <x v="0"/>
    <x v="0"/>
    <x v="0"/>
    <x v="99"/>
  </r>
  <r>
    <n v="41"/>
    <x v="0"/>
    <x v="93"/>
    <x v="0"/>
    <x v="1"/>
    <x v="0"/>
    <x v="100"/>
  </r>
  <r>
    <n v="30"/>
    <x v="1"/>
    <x v="94"/>
    <x v="0"/>
    <x v="1"/>
    <x v="3"/>
    <x v="101"/>
  </r>
  <r>
    <n v="18"/>
    <x v="0"/>
    <x v="95"/>
    <x v="0"/>
    <x v="1"/>
    <x v="3"/>
    <x v="102"/>
  </r>
  <r>
    <n v="61"/>
    <x v="0"/>
    <x v="96"/>
    <x v="2"/>
    <x v="0"/>
    <x v="1"/>
    <x v="103"/>
  </r>
  <r>
    <n v="34"/>
    <x v="0"/>
    <x v="97"/>
    <x v="1"/>
    <x v="1"/>
    <x v="0"/>
    <x v="104"/>
  </r>
  <r>
    <n v="20"/>
    <x v="1"/>
    <x v="24"/>
    <x v="1"/>
    <x v="0"/>
    <x v="2"/>
    <x v="105"/>
  </r>
  <r>
    <n v="19"/>
    <x v="0"/>
    <x v="98"/>
    <x v="1"/>
    <x v="1"/>
    <x v="0"/>
    <x v="106"/>
  </r>
  <r>
    <n v="26"/>
    <x v="1"/>
    <x v="99"/>
    <x v="3"/>
    <x v="1"/>
    <x v="2"/>
    <x v="107"/>
  </r>
  <r>
    <n v="29"/>
    <x v="1"/>
    <x v="100"/>
    <x v="0"/>
    <x v="1"/>
    <x v="1"/>
    <x v="108"/>
  </r>
  <r>
    <n v="63"/>
    <x v="1"/>
    <x v="101"/>
    <x v="0"/>
    <x v="0"/>
    <x v="1"/>
    <x v="109"/>
  </r>
  <r>
    <n v="54"/>
    <x v="1"/>
    <x v="51"/>
    <x v="1"/>
    <x v="1"/>
    <x v="2"/>
    <x v="110"/>
  </r>
  <r>
    <n v="55"/>
    <x v="0"/>
    <x v="102"/>
    <x v="3"/>
    <x v="1"/>
    <x v="0"/>
    <x v="111"/>
  </r>
  <r>
    <n v="37"/>
    <x v="1"/>
    <x v="43"/>
    <x v="0"/>
    <x v="1"/>
    <x v="0"/>
    <x v="112"/>
  </r>
  <r>
    <n v="21"/>
    <x v="0"/>
    <x v="103"/>
    <x v="0"/>
    <x v="1"/>
    <x v="2"/>
    <x v="113"/>
  </r>
  <r>
    <n v="52"/>
    <x v="1"/>
    <x v="104"/>
    <x v="2"/>
    <x v="1"/>
    <x v="3"/>
    <x v="114"/>
  </r>
  <r>
    <n v="60"/>
    <x v="1"/>
    <x v="105"/>
    <x v="0"/>
    <x v="1"/>
    <x v="3"/>
    <x v="115"/>
  </r>
  <r>
    <n v="58"/>
    <x v="1"/>
    <x v="106"/>
    <x v="0"/>
    <x v="1"/>
    <x v="1"/>
    <x v="116"/>
  </r>
  <r>
    <n v="29"/>
    <x v="0"/>
    <x v="100"/>
    <x v="1"/>
    <x v="0"/>
    <x v="1"/>
    <x v="117"/>
  </r>
  <r>
    <n v="49"/>
    <x v="0"/>
    <x v="107"/>
    <x v="0"/>
    <x v="1"/>
    <x v="1"/>
    <x v="118"/>
  </r>
  <r>
    <n v="37"/>
    <x v="0"/>
    <x v="108"/>
    <x v="3"/>
    <x v="1"/>
    <x v="2"/>
    <x v="119"/>
  </r>
  <r>
    <n v="44"/>
    <x v="1"/>
    <x v="109"/>
    <x v="3"/>
    <x v="1"/>
    <x v="0"/>
    <x v="120"/>
  </r>
  <r>
    <n v="18"/>
    <x v="1"/>
    <x v="110"/>
    <x v="0"/>
    <x v="1"/>
    <x v="3"/>
    <x v="121"/>
  </r>
  <r>
    <n v="20"/>
    <x v="0"/>
    <x v="111"/>
    <x v="0"/>
    <x v="1"/>
    <x v="2"/>
    <x v="122"/>
  </r>
  <r>
    <n v="44"/>
    <x v="1"/>
    <x v="112"/>
    <x v="1"/>
    <x v="0"/>
    <x v="3"/>
    <x v="123"/>
  </r>
  <r>
    <n v="47"/>
    <x v="0"/>
    <x v="113"/>
    <x v="2"/>
    <x v="1"/>
    <x v="2"/>
    <x v="124"/>
  </r>
  <r>
    <n v="26"/>
    <x v="0"/>
    <x v="114"/>
    <x v="0"/>
    <x v="1"/>
    <x v="3"/>
    <x v="125"/>
  </r>
  <r>
    <n v="19"/>
    <x v="0"/>
    <x v="115"/>
    <x v="0"/>
    <x v="0"/>
    <x v="0"/>
    <x v="126"/>
  </r>
  <r>
    <n v="52"/>
    <x v="0"/>
    <x v="116"/>
    <x v="0"/>
    <x v="1"/>
    <x v="0"/>
    <x v="127"/>
  </r>
  <r>
    <n v="32"/>
    <x v="0"/>
    <x v="117"/>
    <x v="3"/>
    <x v="0"/>
    <x v="2"/>
    <x v="128"/>
  </r>
  <r>
    <n v="38"/>
    <x v="1"/>
    <x v="118"/>
    <x v="3"/>
    <x v="1"/>
    <x v="0"/>
    <x v="129"/>
  </r>
  <r>
    <n v="59"/>
    <x v="0"/>
    <x v="119"/>
    <x v="0"/>
    <x v="1"/>
    <x v="3"/>
    <x v="130"/>
  </r>
  <r>
    <n v="61"/>
    <x v="0"/>
    <x v="120"/>
    <x v="0"/>
    <x v="1"/>
    <x v="3"/>
    <x v="131"/>
  </r>
  <r>
    <n v="53"/>
    <x v="0"/>
    <x v="121"/>
    <x v="3"/>
    <x v="1"/>
    <x v="0"/>
    <x v="132"/>
  </r>
  <r>
    <n v="19"/>
    <x v="1"/>
    <x v="122"/>
    <x v="0"/>
    <x v="1"/>
    <x v="2"/>
    <x v="133"/>
  </r>
  <r>
    <n v="20"/>
    <x v="0"/>
    <x v="114"/>
    <x v="0"/>
    <x v="1"/>
    <x v="3"/>
    <x v="134"/>
  </r>
  <r>
    <n v="22"/>
    <x v="0"/>
    <x v="123"/>
    <x v="0"/>
    <x v="1"/>
    <x v="1"/>
    <x v="135"/>
  </r>
  <r>
    <n v="19"/>
    <x v="1"/>
    <x v="22"/>
    <x v="0"/>
    <x v="1"/>
    <x v="0"/>
    <x v="136"/>
  </r>
  <r>
    <n v="22"/>
    <x v="1"/>
    <x v="124"/>
    <x v="0"/>
    <x v="1"/>
    <x v="2"/>
    <x v="137"/>
  </r>
  <r>
    <n v="54"/>
    <x v="0"/>
    <x v="125"/>
    <x v="2"/>
    <x v="1"/>
    <x v="1"/>
    <x v="138"/>
  </r>
  <r>
    <n v="22"/>
    <x v="0"/>
    <x v="126"/>
    <x v="0"/>
    <x v="1"/>
    <x v="0"/>
    <x v="139"/>
  </r>
  <r>
    <n v="34"/>
    <x v="1"/>
    <x v="64"/>
    <x v="3"/>
    <x v="1"/>
    <x v="3"/>
    <x v="140"/>
  </r>
  <r>
    <n v="26"/>
    <x v="1"/>
    <x v="127"/>
    <x v="1"/>
    <x v="1"/>
    <x v="3"/>
    <x v="141"/>
  </r>
  <r>
    <n v="34"/>
    <x v="1"/>
    <x v="128"/>
    <x v="3"/>
    <x v="0"/>
    <x v="1"/>
    <x v="142"/>
  </r>
  <r>
    <n v="29"/>
    <x v="1"/>
    <x v="129"/>
    <x v="3"/>
    <x v="1"/>
    <x v="2"/>
    <x v="143"/>
  </r>
  <r>
    <n v="30"/>
    <x v="1"/>
    <x v="54"/>
    <x v="2"/>
    <x v="0"/>
    <x v="2"/>
    <x v="144"/>
  </r>
  <r>
    <n v="29"/>
    <x v="0"/>
    <x v="130"/>
    <x v="2"/>
    <x v="1"/>
    <x v="1"/>
    <x v="145"/>
  </r>
  <r>
    <n v="46"/>
    <x v="1"/>
    <x v="131"/>
    <x v="2"/>
    <x v="0"/>
    <x v="2"/>
    <x v="146"/>
  </r>
  <r>
    <n v="51"/>
    <x v="0"/>
    <x v="132"/>
    <x v="1"/>
    <x v="1"/>
    <x v="1"/>
    <x v="147"/>
  </r>
  <r>
    <n v="53"/>
    <x v="0"/>
    <x v="133"/>
    <x v="1"/>
    <x v="1"/>
    <x v="2"/>
    <x v="148"/>
  </r>
  <r>
    <n v="19"/>
    <x v="1"/>
    <x v="98"/>
    <x v="1"/>
    <x v="1"/>
    <x v="0"/>
    <x v="149"/>
  </r>
  <r>
    <n v="35"/>
    <x v="1"/>
    <x v="134"/>
    <x v="1"/>
    <x v="1"/>
    <x v="2"/>
    <x v="150"/>
  </r>
  <r>
    <n v="48"/>
    <x v="1"/>
    <x v="102"/>
    <x v="0"/>
    <x v="1"/>
    <x v="1"/>
    <x v="151"/>
  </r>
  <r>
    <n v="32"/>
    <x v="0"/>
    <x v="135"/>
    <x v="2"/>
    <x v="1"/>
    <x v="3"/>
    <x v="152"/>
  </r>
  <r>
    <n v="42"/>
    <x v="0"/>
    <x v="108"/>
    <x v="0"/>
    <x v="0"/>
    <x v="3"/>
    <x v="153"/>
  </r>
  <r>
    <n v="40"/>
    <x v="0"/>
    <x v="94"/>
    <x v="1"/>
    <x v="1"/>
    <x v="3"/>
    <x v="154"/>
  </r>
  <r>
    <n v="44"/>
    <x v="1"/>
    <x v="136"/>
    <x v="0"/>
    <x v="1"/>
    <x v="2"/>
    <x v="155"/>
  </r>
  <r>
    <n v="48"/>
    <x v="1"/>
    <x v="137"/>
    <x v="0"/>
    <x v="0"/>
    <x v="1"/>
    <x v="156"/>
  </r>
  <r>
    <n v="18"/>
    <x v="1"/>
    <x v="124"/>
    <x v="0"/>
    <x v="0"/>
    <x v="3"/>
    <x v="157"/>
  </r>
  <r>
    <n v="30"/>
    <x v="1"/>
    <x v="76"/>
    <x v="0"/>
    <x v="0"/>
    <x v="1"/>
    <x v="158"/>
  </r>
  <r>
    <n v="50"/>
    <x v="0"/>
    <x v="138"/>
    <x v="2"/>
    <x v="1"/>
    <x v="1"/>
    <x v="159"/>
  </r>
  <r>
    <n v="42"/>
    <x v="0"/>
    <x v="40"/>
    <x v="0"/>
    <x v="0"/>
    <x v="2"/>
    <x v="160"/>
  </r>
  <r>
    <n v="18"/>
    <x v="0"/>
    <x v="139"/>
    <x v="0"/>
    <x v="0"/>
    <x v="1"/>
    <x v="161"/>
  </r>
  <r>
    <n v="54"/>
    <x v="1"/>
    <x v="140"/>
    <x v="1"/>
    <x v="1"/>
    <x v="0"/>
    <x v="162"/>
  </r>
  <r>
    <n v="32"/>
    <x v="0"/>
    <x v="141"/>
    <x v="3"/>
    <x v="1"/>
    <x v="0"/>
    <x v="163"/>
  </r>
  <r>
    <n v="37"/>
    <x v="1"/>
    <x v="142"/>
    <x v="0"/>
    <x v="1"/>
    <x v="2"/>
    <x v="164"/>
  </r>
  <r>
    <n v="47"/>
    <x v="1"/>
    <x v="143"/>
    <x v="5"/>
    <x v="1"/>
    <x v="3"/>
    <x v="165"/>
  </r>
  <r>
    <n v="20"/>
    <x v="0"/>
    <x v="144"/>
    <x v="4"/>
    <x v="1"/>
    <x v="0"/>
    <x v="166"/>
  </r>
  <r>
    <n v="32"/>
    <x v="0"/>
    <x v="145"/>
    <x v="2"/>
    <x v="1"/>
    <x v="2"/>
    <x v="167"/>
  </r>
  <r>
    <n v="19"/>
    <x v="0"/>
    <x v="56"/>
    <x v="1"/>
    <x v="1"/>
    <x v="2"/>
    <x v="168"/>
  </r>
  <r>
    <n v="27"/>
    <x v="1"/>
    <x v="146"/>
    <x v="2"/>
    <x v="1"/>
    <x v="3"/>
    <x v="169"/>
  </r>
  <r>
    <n v="63"/>
    <x v="1"/>
    <x v="147"/>
    <x v="0"/>
    <x v="1"/>
    <x v="1"/>
    <x v="170"/>
  </r>
  <r>
    <n v="49"/>
    <x v="1"/>
    <x v="148"/>
    <x v="0"/>
    <x v="1"/>
    <x v="0"/>
    <x v="171"/>
  </r>
  <r>
    <n v="18"/>
    <x v="1"/>
    <x v="149"/>
    <x v="0"/>
    <x v="1"/>
    <x v="3"/>
    <x v="172"/>
  </r>
  <r>
    <n v="35"/>
    <x v="0"/>
    <x v="82"/>
    <x v="1"/>
    <x v="1"/>
    <x v="0"/>
    <x v="173"/>
  </r>
  <r>
    <n v="24"/>
    <x v="0"/>
    <x v="150"/>
    <x v="0"/>
    <x v="1"/>
    <x v="2"/>
    <x v="174"/>
  </r>
  <r>
    <n v="63"/>
    <x v="0"/>
    <x v="151"/>
    <x v="0"/>
    <x v="0"/>
    <x v="0"/>
    <x v="175"/>
  </r>
  <r>
    <n v="38"/>
    <x v="1"/>
    <x v="152"/>
    <x v="3"/>
    <x v="1"/>
    <x v="2"/>
    <x v="176"/>
  </r>
  <r>
    <n v="54"/>
    <x v="1"/>
    <x v="153"/>
    <x v="1"/>
    <x v="1"/>
    <x v="0"/>
    <x v="177"/>
  </r>
  <r>
    <n v="46"/>
    <x v="0"/>
    <x v="65"/>
    <x v="3"/>
    <x v="1"/>
    <x v="0"/>
    <x v="178"/>
  </r>
  <r>
    <n v="41"/>
    <x v="0"/>
    <x v="145"/>
    <x v="2"/>
    <x v="1"/>
    <x v="3"/>
    <x v="179"/>
  </r>
  <r>
    <n v="58"/>
    <x v="1"/>
    <x v="105"/>
    <x v="0"/>
    <x v="1"/>
    <x v="2"/>
    <x v="180"/>
  </r>
  <r>
    <n v="18"/>
    <x v="0"/>
    <x v="90"/>
    <x v="0"/>
    <x v="1"/>
    <x v="1"/>
    <x v="181"/>
  </r>
  <r>
    <n v="22"/>
    <x v="1"/>
    <x v="91"/>
    <x v="2"/>
    <x v="1"/>
    <x v="3"/>
    <x v="182"/>
  </r>
  <r>
    <n v="44"/>
    <x v="0"/>
    <x v="154"/>
    <x v="0"/>
    <x v="1"/>
    <x v="2"/>
    <x v="183"/>
  </r>
  <r>
    <n v="44"/>
    <x v="1"/>
    <x v="155"/>
    <x v="3"/>
    <x v="1"/>
    <x v="1"/>
    <x v="184"/>
  </r>
  <r>
    <n v="36"/>
    <x v="1"/>
    <x v="156"/>
    <x v="2"/>
    <x v="0"/>
    <x v="3"/>
    <x v="185"/>
  </r>
  <r>
    <n v="26"/>
    <x v="0"/>
    <x v="96"/>
    <x v="3"/>
    <x v="1"/>
    <x v="1"/>
    <x v="186"/>
  </r>
  <r>
    <n v="30"/>
    <x v="0"/>
    <x v="157"/>
    <x v="2"/>
    <x v="1"/>
    <x v="0"/>
    <x v="187"/>
  </r>
  <r>
    <n v="41"/>
    <x v="0"/>
    <x v="158"/>
    <x v="1"/>
    <x v="1"/>
    <x v="0"/>
    <x v="188"/>
  </r>
  <r>
    <n v="29"/>
    <x v="0"/>
    <x v="159"/>
    <x v="3"/>
    <x v="1"/>
    <x v="2"/>
    <x v="189"/>
  </r>
  <r>
    <n v="61"/>
    <x v="1"/>
    <x v="160"/>
    <x v="0"/>
    <x v="1"/>
    <x v="1"/>
    <x v="190"/>
  </r>
  <r>
    <n v="36"/>
    <x v="0"/>
    <x v="161"/>
    <x v="0"/>
    <x v="1"/>
    <x v="0"/>
    <x v="191"/>
  </r>
  <r>
    <n v="25"/>
    <x v="1"/>
    <x v="5"/>
    <x v="0"/>
    <x v="1"/>
    <x v="1"/>
    <x v="192"/>
  </r>
  <r>
    <n v="56"/>
    <x v="0"/>
    <x v="40"/>
    <x v="1"/>
    <x v="1"/>
    <x v="2"/>
    <x v="193"/>
  </r>
  <r>
    <n v="18"/>
    <x v="1"/>
    <x v="53"/>
    <x v="0"/>
    <x v="1"/>
    <x v="1"/>
    <x v="194"/>
  </r>
  <r>
    <n v="19"/>
    <x v="1"/>
    <x v="162"/>
    <x v="0"/>
    <x v="1"/>
    <x v="2"/>
    <x v="195"/>
  </r>
  <r>
    <n v="39"/>
    <x v="0"/>
    <x v="163"/>
    <x v="0"/>
    <x v="1"/>
    <x v="0"/>
    <x v="196"/>
  </r>
  <r>
    <n v="45"/>
    <x v="0"/>
    <x v="32"/>
    <x v="3"/>
    <x v="1"/>
    <x v="1"/>
    <x v="197"/>
  </r>
  <r>
    <n v="51"/>
    <x v="0"/>
    <x v="164"/>
    <x v="0"/>
    <x v="1"/>
    <x v="2"/>
    <x v="198"/>
  </r>
  <r>
    <n v="64"/>
    <x v="0"/>
    <x v="165"/>
    <x v="0"/>
    <x v="1"/>
    <x v="3"/>
    <x v="199"/>
  </r>
  <r>
    <n v="19"/>
    <x v="0"/>
    <x v="159"/>
    <x v="0"/>
    <x v="1"/>
    <x v="2"/>
    <x v="200"/>
  </r>
  <r>
    <n v="48"/>
    <x v="0"/>
    <x v="166"/>
    <x v="1"/>
    <x v="1"/>
    <x v="1"/>
    <x v="201"/>
  </r>
  <r>
    <n v="60"/>
    <x v="0"/>
    <x v="167"/>
    <x v="0"/>
    <x v="1"/>
    <x v="2"/>
    <x v="202"/>
  </r>
  <r>
    <n v="27"/>
    <x v="0"/>
    <x v="168"/>
    <x v="0"/>
    <x v="0"/>
    <x v="1"/>
    <x v="203"/>
  </r>
  <r>
    <n v="46"/>
    <x v="1"/>
    <x v="169"/>
    <x v="0"/>
    <x v="1"/>
    <x v="0"/>
    <x v="204"/>
  </r>
  <r>
    <n v="28"/>
    <x v="0"/>
    <x v="4"/>
    <x v="1"/>
    <x v="1"/>
    <x v="3"/>
    <x v="205"/>
  </r>
  <r>
    <n v="59"/>
    <x v="1"/>
    <x v="170"/>
    <x v="0"/>
    <x v="1"/>
    <x v="1"/>
    <x v="206"/>
  </r>
  <r>
    <n v="35"/>
    <x v="1"/>
    <x v="7"/>
    <x v="3"/>
    <x v="0"/>
    <x v="3"/>
    <x v="207"/>
  </r>
  <r>
    <n v="63"/>
    <x v="0"/>
    <x v="171"/>
    <x v="0"/>
    <x v="1"/>
    <x v="0"/>
    <x v="208"/>
  </r>
  <r>
    <n v="40"/>
    <x v="1"/>
    <x v="81"/>
    <x v="1"/>
    <x v="1"/>
    <x v="3"/>
    <x v="209"/>
  </r>
  <r>
    <n v="20"/>
    <x v="1"/>
    <x v="2"/>
    <x v="1"/>
    <x v="1"/>
    <x v="0"/>
    <x v="210"/>
  </r>
  <r>
    <n v="40"/>
    <x v="1"/>
    <x v="99"/>
    <x v="5"/>
    <x v="1"/>
    <x v="2"/>
    <x v="211"/>
  </r>
  <r>
    <n v="24"/>
    <x v="1"/>
    <x v="70"/>
    <x v="3"/>
    <x v="1"/>
    <x v="2"/>
    <x v="212"/>
  </r>
  <r>
    <n v="34"/>
    <x v="0"/>
    <x v="172"/>
    <x v="1"/>
    <x v="1"/>
    <x v="1"/>
    <x v="213"/>
  </r>
  <r>
    <n v="45"/>
    <x v="0"/>
    <x v="157"/>
    <x v="3"/>
    <x v="1"/>
    <x v="0"/>
    <x v="214"/>
  </r>
  <r>
    <n v="41"/>
    <x v="0"/>
    <x v="109"/>
    <x v="3"/>
    <x v="1"/>
    <x v="0"/>
    <x v="215"/>
  </r>
  <r>
    <n v="53"/>
    <x v="0"/>
    <x v="40"/>
    <x v="0"/>
    <x v="1"/>
    <x v="2"/>
    <x v="216"/>
  </r>
  <r>
    <n v="27"/>
    <x v="1"/>
    <x v="173"/>
    <x v="0"/>
    <x v="1"/>
    <x v="1"/>
    <x v="217"/>
  </r>
  <r>
    <n v="26"/>
    <x v="0"/>
    <x v="96"/>
    <x v="1"/>
    <x v="1"/>
    <x v="1"/>
    <x v="218"/>
  </r>
  <r>
    <n v="24"/>
    <x v="0"/>
    <x v="174"/>
    <x v="0"/>
    <x v="1"/>
    <x v="1"/>
    <x v="219"/>
  </r>
  <r>
    <n v="34"/>
    <x v="0"/>
    <x v="175"/>
    <x v="1"/>
    <x v="1"/>
    <x v="0"/>
    <x v="220"/>
  </r>
  <r>
    <n v="53"/>
    <x v="0"/>
    <x v="176"/>
    <x v="0"/>
    <x v="1"/>
    <x v="3"/>
    <x v="221"/>
  </r>
  <r>
    <n v="32"/>
    <x v="1"/>
    <x v="43"/>
    <x v="2"/>
    <x v="1"/>
    <x v="0"/>
    <x v="222"/>
  </r>
  <r>
    <n v="19"/>
    <x v="1"/>
    <x v="82"/>
    <x v="0"/>
    <x v="0"/>
    <x v="0"/>
    <x v="223"/>
  </r>
  <r>
    <n v="42"/>
    <x v="1"/>
    <x v="177"/>
    <x v="0"/>
    <x v="0"/>
    <x v="1"/>
    <x v="224"/>
  </r>
  <r>
    <n v="55"/>
    <x v="1"/>
    <x v="178"/>
    <x v="2"/>
    <x v="1"/>
    <x v="1"/>
    <x v="225"/>
  </r>
  <r>
    <n v="28"/>
    <x v="1"/>
    <x v="179"/>
    <x v="0"/>
    <x v="1"/>
    <x v="1"/>
    <x v="226"/>
  </r>
  <r>
    <n v="58"/>
    <x v="0"/>
    <x v="180"/>
    <x v="0"/>
    <x v="1"/>
    <x v="1"/>
    <x v="227"/>
  </r>
  <r>
    <n v="41"/>
    <x v="0"/>
    <x v="181"/>
    <x v="1"/>
    <x v="1"/>
    <x v="3"/>
    <x v="228"/>
  </r>
  <r>
    <n v="47"/>
    <x v="1"/>
    <x v="94"/>
    <x v="3"/>
    <x v="1"/>
    <x v="3"/>
    <x v="229"/>
  </r>
  <r>
    <n v="42"/>
    <x v="0"/>
    <x v="182"/>
    <x v="1"/>
    <x v="1"/>
    <x v="2"/>
    <x v="230"/>
  </r>
  <r>
    <n v="59"/>
    <x v="0"/>
    <x v="138"/>
    <x v="2"/>
    <x v="1"/>
    <x v="1"/>
    <x v="231"/>
  </r>
  <r>
    <n v="19"/>
    <x v="0"/>
    <x v="183"/>
    <x v="0"/>
    <x v="1"/>
    <x v="0"/>
    <x v="232"/>
  </r>
  <r>
    <n v="59"/>
    <x v="1"/>
    <x v="97"/>
    <x v="1"/>
    <x v="1"/>
    <x v="0"/>
    <x v="233"/>
  </r>
  <r>
    <n v="39"/>
    <x v="1"/>
    <x v="184"/>
    <x v="3"/>
    <x v="1"/>
    <x v="2"/>
    <x v="234"/>
  </r>
  <r>
    <n v="40"/>
    <x v="0"/>
    <x v="185"/>
    <x v="3"/>
    <x v="0"/>
    <x v="1"/>
    <x v="235"/>
  </r>
  <r>
    <n v="18"/>
    <x v="0"/>
    <x v="172"/>
    <x v="0"/>
    <x v="1"/>
    <x v="1"/>
    <x v="236"/>
  </r>
  <r>
    <n v="31"/>
    <x v="1"/>
    <x v="186"/>
    <x v="3"/>
    <x v="1"/>
    <x v="1"/>
    <x v="237"/>
  </r>
  <r>
    <n v="19"/>
    <x v="1"/>
    <x v="187"/>
    <x v="0"/>
    <x v="0"/>
    <x v="2"/>
    <x v="238"/>
  </r>
  <r>
    <n v="44"/>
    <x v="1"/>
    <x v="179"/>
    <x v="1"/>
    <x v="1"/>
    <x v="1"/>
    <x v="239"/>
  </r>
  <r>
    <n v="23"/>
    <x v="0"/>
    <x v="38"/>
    <x v="3"/>
    <x v="0"/>
    <x v="3"/>
    <x v="240"/>
  </r>
  <r>
    <n v="33"/>
    <x v="0"/>
    <x v="188"/>
    <x v="1"/>
    <x v="1"/>
    <x v="3"/>
    <x v="241"/>
  </r>
  <r>
    <n v="55"/>
    <x v="0"/>
    <x v="189"/>
    <x v="1"/>
    <x v="1"/>
    <x v="0"/>
    <x v="242"/>
  </r>
  <r>
    <n v="40"/>
    <x v="1"/>
    <x v="19"/>
    <x v="2"/>
    <x v="1"/>
    <x v="0"/>
    <x v="243"/>
  </r>
  <r>
    <n v="63"/>
    <x v="0"/>
    <x v="7"/>
    <x v="0"/>
    <x v="0"/>
    <x v="3"/>
    <x v="244"/>
  </r>
  <r>
    <n v="54"/>
    <x v="1"/>
    <x v="190"/>
    <x v="0"/>
    <x v="1"/>
    <x v="2"/>
    <x v="245"/>
  </r>
  <r>
    <n v="60"/>
    <x v="0"/>
    <x v="179"/>
    <x v="0"/>
    <x v="1"/>
    <x v="1"/>
    <x v="246"/>
  </r>
  <r>
    <n v="24"/>
    <x v="1"/>
    <x v="191"/>
    <x v="0"/>
    <x v="1"/>
    <x v="1"/>
    <x v="247"/>
  </r>
  <r>
    <n v="19"/>
    <x v="1"/>
    <x v="192"/>
    <x v="1"/>
    <x v="1"/>
    <x v="0"/>
    <x v="248"/>
  </r>
  <r>
    <n v="29"/>
    <x v="1"/>
    <x v="111"/>
    <x v="1"/>
    <x v="1"/>
    <x v="3"/>
    <x v="249"/>
  </r>
  <r>
    <n v="18"/>
    <x v="1"/>
    <x v="193"/>
    <x v="3"/>
    <x v="0"/>
    <x v="3"/>
    <x v="250"/>
  </r>
  <r>
    <n v="63"/>
    <x v="0"/>
    <x v="158"/>
    <x v="3"/>
    <x v="0"/>
    <x v="0"/>
    <x v="251"/>
  </r>
  <r>
    <n v="54"/>
    <x v="1"/>
    <x v="194"/>
    <x v="3"/>
    <x v="0"/>
    <x v="1"/>
    <x v="252"/>
  </r>
  <r>
    <n v="27"/>
    <x v="1"/>
    <x v="148"/>
    <x v="2"/>
    <x v="1"/>
    <x v="0"/>
    <x v="253"/>
  </r>
  <r>
    <n v="50"/>
    <x v="1"/>
    <x v="56"/>
    <x v="0"/>
    <x v="0"/>
    <x v="3"/>
    <x v="254"/>
  </r>
  <r>
    <n v="55"/>
    <x v="0"/>
    <x v="195"/>
    <x v="2"/>
    <x v="1"/>
    <x v="3"/>
    <x v="255"/>
  </r>
  <r>
    <n v="56"/>
    <x v="1"/>
    <x v="51"/>
    <x v="0"/>
    <x v="0"/>
    <x v="2"/>
    <x v="256"/>
  </r>
  <r>
    <n v="38"/>
    <x v="0"/>
    <x v="196"/>
    <x v="0"/>
    <x v="1"/>
    <x v="1"/>
    <x v="257"/>
  </r>
  <r>
    <n v="51"/>
    <x v="1"/>
    <x v="197"/>
    <x v="5"/>
    <x v="1"/>
    <x v="2"/>
    <x v="258"/>
  </r>
  <r>
    <n v="19"/>
    <x v="1"/>
    <x v="23"/>
    <x v="0"/>
    <x v="0"/>
    <x v="2"/>
    <x v="259"/>
  </r>
  <r>
    <n v="58"/>
    <x v="0"/>
    <x v="198"/>
    <x v="0"/>
    <x v="1"/>
    <x v="0"/>
    <x v="260"/>
  </r>
  <r>
    <n v="20"/>
    <x v="0"/>
    <x v="199"/>
    <x v="1"/>
    <x v="0"/>
    <x v="1"/>
    <x v="261"/>
  </r>
  <r>
    <n v="52"/>
    <x v="1"/>
    <x v="200"/>
    <x v="2"/>
    <x v="0"/>
    <x v="3"/>
    <x v="262"/>
  </r>
  <r>
    <n v="19"/>
    <x v="1"/>
    <x v="55"/>
    <x v="0"/>
    <x v="0"/>
    <x v="2"/>
    <x v="263"/>
  </r>
  <r>
    <n v="53"/>
    <x v="0"/>
    <x v="179"/>
    <x v="2"/>
    <x v="1"/>
    <x v="1"/>
    <x v="264"/>
  </r>
  <r>
    <n v="46"/>
    <x v="1"/>
    <x v="201"/>
    <x v="2"/>
    <x v="0"/>
    <x v="1"/>
    <x v="265"/>
  </r>
  <r>
    <n v="40"/>
    <x v="1"/>
    <x v="202"/>
    <x v="1"/>
    <x v="0"/>
    <x v="1"/>
    <x v="266"/>
  </r>
  <r>
    <n v="59"/>
    <x v="0"/>
    <x v="203"/>
    <x v="2"/>
    <x v="1"/>
    <x v="3"/>
    <x v="267"/>
  </r>
  <r>
    <n v="45"/>
    <x v="1"/>
    <x v="204"/>
    <x v="1"/>
    <x v="1"/>
    <x v="0"/>
    <x v="268"/>
  </r>
  <r>
    <n v="49"/>
    <x v="1"/>
    <x v="9"/>
    <x v="1"/>
    <x v="1"/>
    <x v="3"/>
    <x v="269"/>
  </r>
  <r>
    <n v="18"/>
    <x v="1"/>
    <x v="205"/>
    <x v="1"/>
    <x v="1"/>
    <x v="1"/>
    <x v="270"/>
  </r>
  <r>
    <n v="50"/>
    <x v="1"/>
    <x v="206"/>
    <x v="3"/>
    <x v="0"/>
    <x v="0"/>
    <x v="271"/>
  </r>
  <r>
    <n v="41"/>
    <x v="1"/>
    <x v="44"/>
    <x v="3"/>
    <x v="1"/>
    <x v="2"/>
    <x v="272"/>
  </r>
  <r>
    <n v="50"/>
    <x v="1"/>
    <x v="207"/>
    <x v="1"/>
    <x v="1"/>
    <x v="3"/>
    <x v="273"/>
  </r>
  <r>
    <n v="25"/>
    <x v="1"/>
    <x v="208"/>
    <x v="0"/>
    <x v="1"/>
    <x v="2"/>
    <x v="274"/>
  </r>
  <r>
    <n v="47"/>
    <x v="0"/>
    <x v="40"/>
    <x v="3"/>
    <x v="1"/>
    <x v="3"/>
    <x v="275"/>
  </r>
  <r>
    <n v="19"/>
    <x v="1"/>
    <x v="209"/>
    <x v="3"/>
    <x v="1"/>
    <x v="2"/>
    <x v="276"/>
  </r>
  <r>
    <n v="22"/>
    <x v="0"/>
    <x v="210"/>
    <x v="0"/>
    <x v="1"/>
    <x v="0"/>
    <x v="277"/>
  </r>
  <r>
    <n v="59"/>
    <x v="1"/>
    <x v="211"/>
    <x v="3"/>
    <x v="1"/>
    <x v="1"/>
    <x v="278"/>
  </r>
  <r>
    <n v="51"/>
    <x v="0"/>
    <x v="212"/>
    <x v="1"/>
    <x v="1"/>
    <x v="1"/>
    <x v="279"/>
  </r>
  <r>
    <n v="40"/>
    <x v="0"/>
    <x v="213"/>
    <x v="1"/>
    <x v="0"/>
    <x v="3"/>
    <x v="280"/>
  </r>
  <r>
    <n v="54"/>
    <x v="1"/>
    <x v="214"/>
    <x v="2"/>
    <x v="0"/>
    <x v="3"/>
    <x v="281"/>
  </r>
  <r>
    <n v="30"/>
    <x v="1"/>
    <x v="215"/>
    <x v="1"/>
    <x v="1"/>
    <x v="3"/>
    <x v="282"/>
  </r>
  <r>
    <n v="55"/>
    <x v="0"/>
    <x v="203"/>
    <x v="1"/>
    <x v="1"/>
    <x v="3"/>
    <x v="283"/>
  </r>
  <r>
    <n v="52"/>
    <x v="0"/>
    <x v="216"/>
    <x v="0"/>
    <x v="1"/>
    <x v="0"/>
    <x v="284"/>
  </r>
  <r>
    <n v="46"/>
    <x v="1"/>
    <x v="217"/>
    <x v="1"/>
    <x v="1"/>
    <x v="1"/>
    <x v="285"/>
  </r>
  <r>
    <n v="46"/>
    <x v="0"/>
    <x v="218"/>
    <x v="3"/>
    <x v="1"/>
    <x v="3"/>
    <x v="286"/>
  </r>
  <r>
    <n v="63"/>
    <x v="0"/>
    <x v="10"/>
    <x v="0"/>
    <x v="1"/>
    <x v="2"/>
    <x v="287"/>
  </r>
  <r>
    <n v="59"/>
    <x v="0"/>
    <x v="219"/>
    <x v="1"/>
    <x v="0"/>
    <x v="3"/>
    <x v="288"/>
  </r>
  <r>
    <n v="52"/>
    <x v="1"/>
    <x v="170"/>
    <x v="2"/>
    <x v="1"/>
    <x v="1"/>
    <x v="289"/>
  </r>
  <r>
    <n v="28"/>
    <x v="0"/>
    <x v="220"/>
    <x v="0"/>
    <x v="1"/>
    <x v="0"/>
    <x v="290"/>
  </r>
  <r>
    <n v="29"/>
    <x v="1"/>
    <x v="142"/>
    <x v="1"/>
    <x v="1"/>
    <x v="3"/>
    <x v="291"/>
  </r>
  <r>
    <n v="25"/>
    <x v="1"/>
    <x v="221"/>
    <x v="3"/>
    <x v="0"/>
    <x v="1"/>
    <x v="292"/>
  </r>
  <r>
    <n v="22"/>
    <x v="0"/>
    <x v="222"/>
    <x v="0"/>
    <x v="1"/>
    <x v="1"/>
    <x v="293"/>
  </r>
  <r>
    <n v="25"/>
    <x v="1"/>
    <x v="189"/>
    <x v="2"/>
    <x v="1"/>
    <x v="0"/>
    <x v="294"/>
  </r>
  <r>
    <n v="18"/>
    <x v="1"/>
    <x v="223"/>
    <x v="0"/>
    <x v="1"/>
    <x v="3"/>
    <x v="295"/>
  </r>
  <r>
    <n v="19"/>
    <x v="1"/>
    <x v="224"/>
    <x v="0"/>
    <x v="0"/>
    <x v="0"/>
    <x v="296"/>
  </r>
  <r>
    <n v="47"/>
    <x v="1"/>
    <x v="225"/>
    <x v="1"/>
    <x v="0"/>
    <x v="1"/>
    <x v="297"/>
  </r>
  <r>
    <n v="31"/>
    <x v="1"/>
    <x v="226"/>
    <x v="2"/>
    <x v="0"/>
    <x v="2"/>
    <x v="298"/>
  </r>
  <r>
    <n v="48"/>
    <x v="0"/>
    <x v="4"/>
    <x v="1"/>
    <x v="1"/>
    <x v="2"/>
    <x v="299"/>
  </r>
  <r>
    <n v="36"/>
    <x v="1"/>
    <x v="208"/>
    <x v="2"/>
    <x v="1"/>
    <x v="3"/>
    <x v="300"/>
  </r>
  <r>
    <n v="53"/>
    <x v="0"/>
    <x v="227"/>
    <x v="2"/>
    <x v="0"/>
    <x v="3"/>
    <x v="301"/>
  </r>
  <r>
    <n v="56"/>
    <x v="0"/>
    <x v="228"/>
    <x v="3"/>
    <x v="1"/>
    <x v="1"/>
    <x v="302"/>
  </r>
  <r>
    <n v="28"/>
    <x v="0"/>
    <x v="2"/>
    <x v="3"/>
    <x v="1"/>
    <x v="1"/>
    <x v="303"/>
  </r>
  <r>
    <n v="57"/>
    <x v="0"/>
    <x v="229"/>
    <x v="3"/>
    <x v="1"/>
    <x v="0"/>
    <x v="304"/>
  </r>
  <r>
    <n v="29"/>
    <x v="1"/>
    <x v="150"/>
    <x v="3"/>
    <x v="1"/>
    <x v="2"/>
    <x v="305"/>
  </r>
  <r>
    <n v="28"/>
    <x v="0"/>
    <x v="97"/>
    <x v="3"/>
    <x v="1"/>
    <x v="0"/>
    <x v="306"/>
  </r>
  <r>
    <n v="30"/>
    <x v="0"/>
    <x v="230"/>
    <x v="1"/>
    <x v="1"/>
    <x v="1"/>
    <x v="307"/>
  </r>
  <r>
    <n v="58"/>
    <x v="1"/>
    <x v="231"/>
    <x v="0"/>
    <x v="1"/>
    <x v="3"/>
    <x v="308"/>
  </r>
  <r>
    <n v="41"/>
    <x v="0"/>
    <x v="232"/>
    <x v="3"/>
    <x v="1"/>
    <x v="2"/>
    <x v="309"/>
  </r>
  <r>
    <n v="50"/>
    <x v="1"/>
    <x v="40"/>
    <x v="0"/>
    <x v="1"/>
    <x v="0"/>
    <x v="310"/>
  </r>
  <r>
    <n v="19"/>
    <x v="0"/>
    <x v="62"/>
    <x v="0"/>
    <x v="1"/>
    <x v="0"/>
    <x v="311"/>
  </r>
  <r>
    <n v="43"/>
    <x v="1"/>
    <x v="233"/>
    <x v="2"/>
    <x v="0"/>
    <x v="1"/>
    <x v="312"/>
  </r>
  <r>
    <n v="49"/>
    <x v="1"/>
    <x v="191"/>
    <x v="0"/>
    <x v="1"/>
    <x v="1"/>
    <x v="313"/>
  </r>
  <r>
    <n v="27"/>
    <x v="0"/>
    <x v="234"/>
    <x v="0"/>
    <x v="0"/>
    <x v="0"/>
    <x v="314"/>
  </r>
  <r>
    <n v="52"/>
    <x v="1"/>
    <x v="176"/>
    <x v="0"/>
    <x v="1"/>
    <x v="3"/>
    <x v="315"/>
  </r>
  <r>
    <n v="50"/>
    <x v="1"/>
    <x v="104"/>
    <x v="0"/>
    <x v="1"/>
    <x v="2"/>
    <x v="316"/>
  </r>
  <r>
    <n v="54"/>
    <x v="1"/>
    <x v="27"/>
    <x v="0"/>
    <x v="1"/>
    <x v="3"/>
    <x v="317"/>
  </r>
  <r>
    <n v="44"/>
    <x v="0"/>
    <x v="215"/>
    <x v="0"/>
    <x v="1"/>
    <x v="2"/>
    <x v="318"/>
  </r>
  <r>
    <n v="32"/>
    <x v="1"/>
    <x v="59"/>
    <x v="1"/>
    <x v="1"/>
    <x v="3"/>
    <x v="319"/>
  </r>
  <r>
    <n v="34"/>
    <x v="1"/>
    <x v="235"/>
    <x v="1"/>
    <x v="1"/>
    <x v="2"/>
    <x v="320"/>
  </r>
  <r>
    <n v="26"/>
    <x v="0"/>
    <x v="142"/>
    <x v="5"/>
    <x v="1"/>
    <x v="3"/>
    <x v="321"/>
  </r>
  <r>
    <n v="34"/>
    <x v="1"/>
    <x v="43"/>
    <x v="0"/>
    <x v="0"/>
    <x v="0"/>
    <x v="322"/>
  </r>
  <r>
    <n v="57"/>
    <x v="1"/>
    <x v="236"/>
    <x v="0"/>
    <x v="1"/>
    <x v="3"/>
    <x v="323"/>
  </r>
  <r>
    <n v="29"/>
    <x v="1"/>
    <x v="85"/>
    <x v="0"/>
    <x v="1"/>
    <x v="0"/>
    <x v="324"/>
  </r>
  <r>
    <n v="40"/>
    <x v="1"/>
    <x v="237"/>
    <x v="1"/>
    <x v="1"/>
    <x v="3"/>
    <x v="325"/>
  </r>
  <r>
    <n v="27"/>
    <x v="0"/>
    <x v="174"/>
    <x v="1"/>
    <x v="1"/>
    <x v="1"/>
    <x v="326"/>
  </r>
  <r>
    <n v="45"/>
    <x v="1"/>
    <x v="238"/>
    <x v="3"/>
    <x v="0"/>
    <x v="2"/>
    <x v="327"/>
  </r>
  <r>
    <n v="64"/>
    <x v="0"/>
    <x v="239"/>
    <x v="1"/>
    <x v="0"/>
    <x v="0"/>
    <x v="328"/>
  </r>
  <r>
    <n v="52"/>
    <x v="1"/>
    <x v="240"/>
    <x v="0"/>
    <x v="1"/>
    <x v="0"/>
    <x v="329"/>
  </r>
  <r>
    <n v="61"/>
    <x v="0"/>
    <x v="241"/>
    <x v="1"/>
    <x v="0"/>
    <x v="3"/>
    <x v="330"/>
  </r>
  <r>
    <n v="52"/>
    <x v="1"/>
    <x v="60"/>
    <x v="0"/>
    <x v="0"/>
    <x v="2"/>
    <x v="331"/>
  </r>
  <r>
    <n v="61"/>
    <x v="0"/>
    <x v="84"/>
    <x v="0"/>
    <x v="1"/>
    <x v="2"/>
    <x v="332"/>
  </r>
  <r>
    <n v="56"/>
    <x v="0"/>
    <x v="114"/>
    <x v="0"/>
    <x v="1"/>
    <x v="3"/>
    <x v="333"/>
  </r>
  <r>
    <n v="43"/>
    <x v="0"/>
    <x v="103"/>
    <x v="3"/>
    <x v="1"/>
    <x v="3"/>
    <x v="334"/>
  </r>
  <r>
    <n v="64"/>
    <x v="1"/>
    <x v="242"/>
    <x v="0"/>
    <x v="1"/>
    <x v="0"/>
    <x v="335"/>
  </r>
  <r>
    <n v="60"/>
    <x v="1"/>
    <x v="5"/>
    <x v="0"/>
    <x v="1"/>
    <x v="1"/>
    <x v="336"/>
  </r>
  <r>
    <n v="62"/>
    <x v="1"/>
    <x v="208"/>
    <x v="1"/>
    <x v="1"/>
    <x v="2"/>
    <x v="337"/>
  </r>
  <r>
    <n v="50"/>
    <x v="1"/>
    <x v="243"/>
    <x v="1"/>
    <x v="0"/>
    <x v="3"/>
    <x v="338"/>
  </r>
  <r>
    <n v="46"/>
    <x v="0"/>
    <x v="25"/>
    <x v="1"/>
    <x v="1"/>
    <x v="1"/>
    <x v="339"/>
  </r>
  <r>
    <n v="24"/>
    <x v="0"/>
    <x v="244"/>
    <x v="0"/>
    <x v="1"/>
    <x v="0"/>
    <x v="340"/>
  </r>
  <r>
    <n v="62"/>
    <x v="1"/>
    <x v="190"/>
    <x v="0"/>
    <x v="1"/>
    <x v="2"/>
    <x v="341"/>
  </r>
  <r>
    <n v="60"/>
    <x v="0"/>
    <x v="208"/>
    <x v="0"/>
    <x v="1"/>
    <x v="3"/>
    <x v="342"/>
  </r>
  <r>
    <n v="63"/>
    <x v="1"/>
    <x v="219"/>
    <x v="0"/>
    <x v="1"/>
    <x v="3"/>
    <x v="343"/>
  </r>
  <r>
    <n v="49"/>
    <x v="0"/>
    <x v="147"/>
    <x v="5"/>
    <x v="1"/>
    <x v="1"/>
    <x v="344"/>
  </r>
  <r>
    <n v="34"/>
    <x v="0"/>
    <x v="245"/>
    <x v="2"/>
    <x v="1"/>
    <x v="1"/>
    <x v="345"/>
  </r>
  <r>
    <n v="33"/>
    <x v="1"/>
    <x v="246"/>
    <x v="3"/>
    <x v="1"/>
    <x v="1"/>
    <x v="346"/>
  </r>
  <r>
    <n v="46"/>
    <x v="1"/>
    <x v="150"/>
    <x v="1"/>
    <x v="1"/>
    <x v="3"/>
    <x v="347"/>
  </r>
  <r>
    <n v="36"/>
    <x v="0"/>
    <x v="96"/>
    <x v="1"/>
    <x v="1"/>
    <x v="1"/>
    <x v="348"/>
  </r>
  <r>
    <n v="19"/>
    <x v="1"/>
    <x v="152"/>
    <x v="0"/>
    <x v="1"/>
    <x v="2"/>
    <x v="349"/>
  </r>
  <r>
    <n v="57"/>
    <x v="0"/>
    <x v="247"/>
    <x v="0"/>
    <x v="1"/>
    <x v="2"/>
    <x v="350"/>
  </r>
  <r>
    <n v="50"/>
    <x v="0"/>
    <x v="248"/>
    <x v="0"/>
    <x v="1"/>
    <x v="0"/>
    <x v="351"/>
  </r>
  <r>
    <n v="30"/>
    <x v="0"/>
    <x v="224"/>
    <x v="0"/>
    <x v="1"/>
    <x v="0"/>
    <x v="352"/>
  </r>
  <r>
    <n v="33"/>
    <x v="1"/>
    <x v="249"/>
    <x v="0"/>
    <x v="1"/>
    <x v="3"/>
    <x v="353"/>
  </r>
  <r>
    <n v="18"/>
    <x v="0"/>
    <x v="90"/>
    <x v="0"/>
    <x v="1"/>
    <x v="1"/>
    <x v="354"/>
  </r>
  <r>
    <n v="46"/>
    <x v="1"/>
    <x v="244"/>
    <x v="0"/>
    <x v="1"/>
    <x v="0"/>
    <x v="355"/>
  </r>
  <r>
    <n v="46"/>
    <x v="1"/>
    <x v="250"/>
    <x v="2"/>
    <x v="1"/>
    <x v="1"/>
    <x v="356"/>
  </r>
  <r>
    <n v="47"/>
    <x v="1"/>
    <x v="8"/>
    <x v="2"/>
    <x v="1"/>
    <x v="2"/>
    <x v="357"/>
  </r>
  <r>
    <n v="23"/>
    <x v="1"/>
    <x v="180"/>
    <x v="0"/>
    <x v="1"/>
    <x v="1"/>
    <x v="358"/>
  </r>
  <r>
    <n v="18"/>
    <x v="0"/>
    <x v="251"/>
    <x v="0"/>
    <x v="1"/>
    <x v="1"/>
    <x v="359"/>
  </r>
  <r>
    <n v="48"/>
    <x v="0"/>
    <x v="243"/>
    <x v="3"/>
    <x v="1"/>
    <x v="3"/>
    <x v="360"/>
  </r>
  <r>
    <n v="35"/>
    <x v="1"/>
    <x v="252"/>
    <x v="1"/>
    <x v="1"/>
    <x v="0"/>
    <x v="361"/>
  </r>
  <r>
    <n v="19"/>
    <x v="0"/>
    <x v="253"/>
    <x v="0"/>
    <x v="0"/>
    <x v="0"/>
    <x v="362"/>
  </r>
  <r>
    <n v="21"/>
    <x v="0"/>
    <x v="170"/>
    <x v="1"/>
    <x v="1"/>
    <x v="0"/>
    <x v="363"/>
  </r>
  <r>
    <n v="21"/>
    <x v="0"/>
    <x v="254"/>
    <x v="3"/>
    <x v="1"/>
    <x v="1"/>
    <x v="364"/>
  </r>
  <r>
    <n v="49"/>
    <x v="0"/>
    <x v="16"/>
    <x v="1"/>
    <x v="1"/>
    <x v="3"/>
    <x v="365"/>
  </r>
  <r>
    <n v="56"/>
    <x v="0"/>
    <x v="243"/>
    <x v="2"/>
    <x v="1"/>
    <x v="3"/>
    <x v="366"/>
  </r>
  <r>
    <n v="42"/>
    <x v="0"/>
    <x v="255"/>
    <x v="3"/>
    <x v="1"/>
    <x v="2"/>
    <x v="367"/>
  </r>
  <r>
    <n v="44"/>
    <x v="1"/>
    <x v="256"/>
    <x v="3"/>
    <x v="1"/>
    <x v="2"/>
    <x v="368"/>
  </r>
  <r>
    <n v="18"/>
    <x v="1"/>
    <x v="257"/>
    <x v="2"/>
    <x v="1"/>
    <x v="3"/>
    <x v="369"/>
  </r>
  <r>
    <n v="61"/>
    <x v="0"/>
    <x v="258"/>
    <x v="0"/>
    <x v="1"/>
    <x v="2"/>
    <x v="370"/>
  </r>
  <r>
    <n v="57"/>
    <x v="0"/>
    <x v="259"/>
    <x v="0"/>
    <x v="1"/>
    <x v="3"/>
    <x v="371"/>
  </r>
  <r>
    <n v="42"/>
    <x v="0"/>
    <x v="145"/>
    <x v="1"/>
    <x v="1"/>
    <x v="3"/>
    <x v="372"/>
  </r>
  <r>
    <n v="26"/>
    <x v="1"/>
    <x v="260"/>
    <x v="3"/>
    <x v="0"/>
    <x v="0"/>
    <x v="373"/>
  </r>
  <r>
    <n v="20"/>
    <x v="1"/>
    <x v="230"/>
    <x v="0"/>
    <x v="1"/>
    <x v="1"/>
    <x v="374"/>
  </r>
  <r>
    <n v="23"/>
    <x v="0"/>
    <x v="33"/>
    <x v="0"/>
    <x v="0"/>
    <x v="2"/>
    <x v="375"/>
  </r>
  <r>
    <n v="39"/>
    <x v="0"/>
    <x v="261"/>
    <x v="2"/>
    <x v="0"/>
    <x v="3"/>
    <x v="376"/>
  </r>
  <r>
    <n v="24"/>
    <x v="1"/>
    <x v="196"/>
    <x v="0"/>
    <x v="0"/>
    <x v="1"/>
    <x v="377"/>
  </r>
  <r>
    <n v="64"/>
    <x v="0"/>
    <x v="95"/>
    <x v="2"/>
    <x v="1"/>
    <x v="2"/>
    <x v="378"/>
  </r>
  <r>
    <n v="62"/>
    <x v="1"/>
    <x v="262"/>
    <x v="1"/>
    <x v="1"/>
    <x v="1"/>
    <x v="379"/>
  </r>
  <r>
    <n v="27"/>
    <x v="0"/>
    <x v="263"/>
    <x v="3"/>
    <x v="0"/>
    <x v="3"/>
    <x v="380"/>
  </r>
  <r>
    <n v="55"/>
    <x v="1"/>
    <x v="264"/>
    <x v="0"/>
    <x v="0"/>
    <x v="3"/>
    <x v="381"/>
  </r>
  <r>
    <n v="55"/>
    <x v="1"/>
    <x v="2"/>
    <x v="0"/>
    <x v="1"/>
    <x v="1"/>
    <x v="382"/>
  </r>
  <r>
    <n v="35"/>
    <x v="0"/>
    <x v="265"/>
    <x v="3"/>
    <x v="1"/>
    <x v="1"/>
    <x v="383"/>
  </r>
  <r>
    <n v="44"/>
    <x v="1"/>
    <x v="188"/>
    <x v="3"/>
    <x v="1"/>
    <x v="3"/>
    <x v="384"/>
  </r>
  <r>
    <n v="19"/>
    <x v="1"/>
    <x v="12"/>
    <x v="0"/>
    <x v="1"/>
    <x v="0"/>
    <x v="385"/>
  </r>
  <r>
    <n v="58"/>
    <x v="0"/>
    <x v="266"/>
    <x v="0"/>
    <x v="1"/>
    <x v="1"/>
    <x v="386"/>
  </r>
  <r>
    <n v="50"/>
    <x v="1"/>
    <x v="195"/>
    <x v="3"/>
    <x v="1"/>
    <x v="2"/>
    <x v="387"/>
  </r>
  <r>
    <n v="26"/>
    <x v="0"/>
    <x v="227"/>
    <x v="0"/>
    <x v="1"/>
    <x v="2"/>
    <x v="388"/>
  </r>
  <r>
    <n v="24"/>
    <x v="0"/>
    <x v="267"/>
    <x v="2"/>
    <x v="1"/>
    <x v="2"/>
    <x v="389"/>
  </r>
  <r>
    <n v="48"/>
    <x v="1"/>
    <x v="50"/>
    <x v="5"/>
    <x v="1"/>
    <x v="3"/>
    <x v="390"/>
  </r>
  <r>
    <n v="19"/>
    <x v="0"/>
    <x v="133"/>
    <x v="0"/>
    <x v="1"/>
    <x v="2"/>
    <x v="391"/>
  </r>
  <r>
    <n v="48"/>
    <x v="1"/>
    <x v="268"/>
    <x v="1"/>
    <x v="1"/>
    <x v="3"/>
    <x v="392"/>
  </r>
  <r>
    <n v="49"/>
    <x v="1"/>
    <x v="112"/>
    <x v="1"/>
    <x v="1"/>
    <x v="3"/>
    <x v="393"/>
  </r>
  <r>
    <n v="46"/>
    <x v="0"/>
    <x v="243"/>
    <x v="3"/>
    <x v="1"/>
    <x v="3"/>
    <x v="394"/>
  </r>
  <r>
    <n v="46"/>
    <x v="1"/>
    <x v="269"/>
    <x v="0"/>
    <x v="1"/>
    <x v="2"/>
    <x v="395"/>
  </r>
  <r>
    <n v="43"/>
    <x v="0"/>
    <x v="12"/>
    <x v="2"/>
    <x v="1"/>
    <x v="0"/>
    <x v="396"/>
  </r>
  <r>
    <n v="21"/>
    <x v="1"/>
    <x v="270"/>
    <x v="0"/>
    <x v="1"/>
    <x v="1"/>
    <x v="397"/>
  </r>
  <r>
    <n v="64"/>
    <x v="1"/>
    <x v="248"/>
    <x v="3"/>
    <x v="1"/>
    <x v="0"/>
    <x v="398"/>
  </r>
  <r>
    <n v="18"/>
    <x v="0"/>
    <x v="271"/>
    <x v="0"/>
    <x v="1"/>
    <x v="1"/>
    <x v="399"/>
  </r>
  <r>
    <n v="51"/>
    <x v="0"/>
    <x v="272"/>
    <x v="0"/>
    <x v="1"/>
    <x v="0"/>
    <x v="400"/>
  </r>
  <r>
    <n v="47"/>
    <x v="1"/>
    <x v="273"/>
    <x v="1"/>
    <x v="1"/>
    <x v="1"/>
    <x v="401"/>
  </r>
  <r>
    <n v="64"/>
    <x v="0"/>
    <x v="36"/>
    <x v="0"/>
    <x v="1"/>
    <x v="2"/>
    <x v="402"/>
  </r>
  <r>
    <n v="49"/>
    <x v="1"/>
    <x v="243"/>
    <x v="2"/>
    <x v="1"/>
    <x v="2"/>
    <x v="403"/>
  </r>
  <r>
    <n v="31"/>
    <x v="1"/>
    <x v="274"/>
    <x v="0"/>
    <x v="1"/>
    <x v="0"/>
    <x v="404"/>
  </r>
  <r>
    <n v="52"/>
    <x v="0"/>
    <x v="275"/>
    <x v="3"/>
    <x v="1"/>
    <x v="3"/>
    <x v="405"/>
  </r>
  <r>
    <n v="33"/>
    <x v="0"/>
    <x v="276"/>
    <x v="0"/>
    <x v="1"/>
    <x v="1"/>
    <x v="406"/>
  </r>
  <r>
    <n v="47"/>
    <x v="0"/>
    <x v="277"/>
    <x v="1"/>
    <x v="1"/>
    <x v="0"/>
    <x v="407"/>
  </r>
  <r>
    <n v="38"/>
    <x v="1"/>
    <x v="278"/>
    <x v="2"/>
    <x v="1"/>
    <x v="1"/>
    <x v="408"/>
  </r>
  <r>
    <n v="32"/>
    <x v="1"/>
    <x v="279"/>
    <x v="1"/>
    <x v="1"/>
    <x v="1"/>
    <x v="409"/>
  </r>
  <r>
    <n v="19"/>
    <x v="1"/>
    <x v="280"/>
    <x v="0"/>
    <x v="1"/>
    <x v="2"/>
    <x v="410"/>
  </r>
  <r>
    <n v="44"/>
    <x v="0"/>
    <x v="281"/>
    <x v="1"/>
    <x v="0"/>
    <x v="3"/>
    <x v="411"/>
  </r>
  <r>
    <n v="26"/>
    <x v="0"/>
    <x v="282"/>
    <x v="3"/>
    <x v="0"/>
    <x v="3"/>
    <x v="412"/>
  </r>
  <r>
    <n v="25"/>
    <x v="1"/>
    <x v="283"/>
    <x v="4"/>
    <x v="1"/>
    <x v="0"/>
    <x v="413"/>
  </r>
  <r>
    <n v="19"/>
    <x v="0"/>
    <x v="284"/>
    <x v="0"/>
    <x v="1"/>
    <x v="2"/>
    <x v="414"/>
  </r>
  <r>
    <n v="43"/>
    <x v="0"/>
    <x v="285"/>
    <x v="1"/>
    <x v="1"/>
    <x v="1"/>
    <x v="415"/>
  </r>
  <r>
    <n v="52"/>
    <x v="1"/>
    <x v="22"/>
    <x v="0"/>
    <x v="1"/>
    <x v="1"/>
    <x v="416"/>
  </r>
  <r>
    <n v="36"/>
    <x v="0"/>
    <x v="286"/>
    <x v="3"/>
    <x v="0"/>
    <x v="0"/>
    <x v="417"/>
  </r>
  <r>
    <n v="64"/>
    <x v="1"/>
    <x v="287"/>
    <x v="1"/>
    <x v="1"/>
    <x v="1"/>
    <x v="418"/>
  </r>
  <r>
    <n v="63"/>
    <x v="0"/>
    <x v="86"/>
    <x v="0"/>
    <x v="0"/>
    <x v="2"/>
    <x v="419"/>
  </r>
  <r>
    <n v="64"/>
    <x v="1"/>
    <x v="178"/>
    <x v="0"/>
    <x v="0"/>
    <x v="1"/>
    <x v="420"/>
  </r>
  <r>
    <n v="61"/>
    <x v="1"/>
    <x v="191"/>
    <x v="0"/>
    <x v="0"/>
    <x v="1"/>
    <x v="421"/>
  </r>
  <r>
    <n v="40"/>
    <x v="1"/>
    <x v="27"/>
    <x v="1"/>
    <x v="0"/>
    <x v="3"/>
    <x v="422"/>
  </r>
  <r>
    <n v="25"/>
    <x v="1"/>
    <x v="162"/>
    <x v="0"/>
    <x v="1"/>
    <x v="3"/>
    <x v="423"/>
  </r>
  <r>
    <n v="48"/>
    <x v="1"/>
    <x v="204"/>
    <x v="3"/>
    <x v="1"/>
    <x v="0"/>
    <x v="424"/>
  </r>
  <r>
    <n v="45"/>
    <x v="1"/>
    <x v="276"/>
    <x v="4"/>
    <x v="1"/>
    <x v="1"/>
    <x v="425"/>
  </r>
  <r>
    <n v="38"/>
    <x v="0"/>
    <x v="288"/>
    <x v="1"/>
    <x v="1"/>
    <x v="3"/>
    <x v="426"/>
  </r>
  <r>
    <n v="18"/>
    <x v="0"/>
    <x v="289"/>
    <x v="0"/>
    <x v="1"/>
    <x v="3"/>
    <x v="427"/>
  </r>
  <r>
    <n v="21"/>
    <x v="0"/>
    <x v="290"/>
    <x v="1"/>
    <x v="1"/>
    <x v="3"/>
    <x v="428"/>
  </r>
  <r>
    <n v="27"/>
    <x v="0"/>
    <x v="257"/>
    <x v="2"/>
    <x v="1"/>
    <x v="2"/>
    <x v="429"/>
  </r>
  <r>
    <n v="19"/>
    <x v="1"/>
    <x v="291"/>
    <x v="0"/>
    <x v="1"/>
    <x v="0"/>
    <x v="430"/>
  </r>
  <r>
    <n v="29"/>
    <x v="0"/>
    <x v="281"/>
    <x v="3"/>
    <x v="1"/>
    <x v="2"/>
    <x v="431"/>
  </r>
  <r>
    <n v="42"/>
    <x v="1"/>
    <x v="292"/>
    <x v="0"/>
    <x v="1"/>
    <x v="0"/>
    <x v="432"/>
  </r>
  <r>
    <n v="60"/>
    <x v="0"/>
    <x v="252"/>
    <x v="0"/>
    <x v="1"/>
    <x v="0"/>
    <x v="433"/>
  </r>
  <r>
    <n v="31"/>
    <x v="1"/>
    <x v="105"/>
    <x v="1"/>
    <x v="1"/>
    <x v="2"/>
    <x v="434"/>
  </r>
  <r>
    <n v="60"/>
    <x v="1"/>
    <x v="293"/>
    <x v="2"/>
    <x v="1"/>
    <x v="1"/>
    <x v="435"/>
  </r>
  <r>
    <n v="22"/>
    <x v="1"/>
    <x v="294"/>
    <x v="0"/>
    <x v="1"/>
    <x v="3"/>
    <x v="436"/>
  </r>
  <r>
    <n v="35"/>
    <x v="1"/>
    <x v="65"/>
    <x v="2"/>
    <x v="1"/>
    <x v="0"/>
    <x v="437"/>
  </r>
  <r>
    <n v="52"/>
    <x v="0"/>
    <x v="295"/>
    <x v="4"/>
    <x v="1"/>
    <x v="1"/>
    <x v="438"/>
  </r>
  <r>
    <n v="26"/>
    <x v="1"/>
    <x v="296"/>
    <x v="0"/>
    <x v="1"/>
    <x v="3"/>
    <x v="439"/>
  </r>
  <r>
    <n v="31"/>
    <x v="0"/>
    <x v="297"/>
    <x v="1"/>
    <x v="1"/>
    <x v="2"/>
    <x v="440"/>
  </r>
  <r>
    <n v="33"/>
    <x v="0"/>
    <x v="298"/>
    <x v="0"/>
    <x v="0"/>
    <x v="0"/>
    <x v="441"/>
  </r>
  <r>
    <n v="18"/>
    <x v="1"/>
    <x v="299"/>
    <x v="0"/>
    <x v="1"/>
    <x v="1"/>
    <x v="442"/>
  </r>
  <r>
    <n v="59"/>
    <x v="0"/>
    <x v="300"/>
    <x v="1"/>
    <x v="1"/>
    <x v="1"/>
    <x v="443"/>
  </r>
  <r>
    <n v="56"/>
    <x v="1"/>
    <x v="301"/>
    <x v="1"/>
    <x v="0"/>
    <x v="2"/>
    <x v="444"/>
  </r>
  <r>
    <n v="45"/>
    <x v="0"/>
    <x v="291"/>
    <x v="0"/>
    <x v="1"/>
    <x v="0"/>
    <x v="445"/>
  </r>
  <r>
    <n v="60"/>
    <x v="1"/>
    <x v="142"/>
    <x v="0"/>
    <x v="1"/>
    <x v="3"/>
    <x v="446"/>
  </r>
  <r>
    <n v="56"/>
    <x v="0"/>
    <x v="302"/>
    <x v="0"/>
    <x v="1"/>
    <x v="2"/>
    <x v="447"/>
  </r>
  <r>
    <n v="40"/>
    <x v="0"/>
    <x v="303"/>
    <x v="0"/>
    <x v="1"/>
    <x v="0"/>
    <x v="448"/>
  </r>
  <r>
    <n v="35"/>
    <x v="1"/>
    <x v="304"/>
    <x v="1"/>
    <x v="1"/>
    <x v="0"/>
    <x v="449"/>
  </r>
  <r>
    <n v="39"/>
    <x v="1"/>
    <x v="303"/>
    <x v="5"/>
    <x v="1"/>
    <x v="0"/>
    <x v="450"/>
  </r>
  <r>
    <n v="30"/>
    <x v="1"/>
    <x v="134"/>
    <x v="1"/>
    <x v="1"/>
    <x v="2"/>
    <x v="451"/>
  </r>
  <r>
    <n v="24"/>
    <x v="1"/>
    <x v="305"/>
    <x v="0"/>
    <x v="1"/>
    <x v="0"/>
    <x v="452"/>
  </r>
  <r>
    <n v="20"/>
    <x v="1"/>
    <x v="129"/>
    <x v="0"/>
    <x v="1"/>
    <x v="2"/>
    <x v="453"/>
  </r>
  <r>
    <n v="32"/>
    <x v="1"/>
    <x v="306"/>
    <x v="3"/>
    <x v="1"/>
    <x v="1"/>
    <x v="454"/>
  </r>
  <r>
    <n v="59"/>
    <x v="1"/>
    <x v="116"/>
    <x v="0"/>
    <x v="1"/>
    <x v="0"/>
    <x v="455"/>
  </r>
  <r>
    <n v="55"/>
    <x v="0"/>
    <x v="307"/>
    <x v="3"/>
    <x v="1"/>
    <x v="1"/>
    <x v="456"/>
  </r>
  <r>
    <n v="57"/>
    <x v="0"/>
    <x v="131"/>
    <x v="0"/>
    <x v="1"/>
    <x v="2"/>
    <x v="457"/>
  </r>
  <r>
    <n v="56"/>
    <x v="1"/>
    <x v="140"/>
    <x v="0"/>
    <x v="1"/>
    <x v="0"/>
    <x v="458"/>
  </r>
  <r>
    <n v="40"/>
    <x v="0"/>
    <x v="2"/>
    <x v="2"/>
    <x v="1"/>
    <x v="1"/>
    <x v="459"/>
  </r>
  <r>
    <n v="49"/>
    <x v="0"/>
    <x v="41"/>
    <x v="2"/>
    <x v="1"/>
    <x v="1"/>
    <x v="460"/>
  </r>
  <r>
    <n v="42"/>
    <x v="1"/>
    <x v="308"/>
    <x v="0"/>
    <x v="0"/>
    <x v="0"/>
    <x v="461"/>
  </r>
  <r>
    <n v="62"/>
    <x v="0"/>
    <x v="309"/>
    <x v="3"/>
    <x v="1"/>
    <x v="3"/>
    <x v="462"/>
  </r>
  <r>
    <n v="56"/>
    <x v="1"/>
    <x v="63"/>
    <x v="0"/>
    <x v="1"/>
    <x v="3"/>
    <x v="463"/>
  </r>
  <r>
    <n v="19"/>
    <x v="1"/>
    <x v="124"/>
    <x v="0"/>
    <x v="1"/>
    <x v="2"/>
    <x v="464"/>
  </r>
  <r>
    <n v="30"/>
    <x v="0"/>
    <x v="310"/>
    <x v="1"/>
    <x v="0"/>
    <x v="1"/>
    <x v="465"/>
  </r>
  <r>
    <n v="60"/>
    <x v="0"/>
    <x v="311"/>
    <x v="1"/>
    <x v="1"/>
    <x v="0"/>
    <x v="466"/>
  </r>
  <r>
    <n v="56"/>
    <x v="0"/>
    <x v="312"/>
    <x v="3"/>
    <x v="1"/>
    <x v="2"/>
    <x v="467"/>
  </r>
  <r>
    <n v="28"/>
    <x v="0"/>
    <x v="200"/>
    <x v="1"/>
    <x v="1"/>
    <x v="3"/>
    <x v="468"/>
  </r>
  <r>
    <n v="18"/>
    <x v="0"/>
    <x v="313"/>
    <x v="1"/>
    <x v="1"/>
    <x v="1"/>
    <x v="469"/>
  </r>
  <r>
    <n v="27"/>
    <x v="1"/>
    <x v="314"/>
    <x v="0"/>
    <x v="1"/>
    <x v="1"/>
    <x v="470"/>
  </r>
  <r>
    <n v="18"/>
    <x v="0"/>
    <x v="95"/>
    <x v="0"/>
    <x v="1"/>
    <x v="3"/>
    <x v="471"/>
  </r>
  <r>
    <n v="19"/>
    <x v="0"/>
    <x v="141"/>
    <x v="0"/>
    <x v="1"/>
    <x v="0"/>
    <x v="472"/>
  </r>
  <r>
    <n v="47"/>
    <x v="0"/>
    <x v="150"/>
    <x v="0"/>
    <x v="1"/>
    <x v="3"/>
    <x v="473"/>
  </r>
  <r>
    <n v="54"/>
    <x v="1"/>
    <x v="315"/>
    <x v="2"/>
    <x v="0"/>
    <x v="0"/>
    <x v="474"/>
  </r>
  <r>
    <n v="61"/>
    <x v="1"/>
    <x v="33"/>
    <x v="1"/>
    <x v="0"/>
    <x v="2"/>
    <x v="475"/>
  </r>
  <r>
    <n v="24"/>
    <x v="1"/>
    <x v="70"/>
    <x v="0"/>
    <x v="0"/>
    <x v="3"/>
    <x v="476"/>
  </r>
  <r>
    <n v="25"/>
    <x v="1"/>
    <x v="50"/>
    <x v="0"/>
    <x v="1"/>
    <x v="2"/>
    <x v="477"/>
  </r>
  <r>
    <n v="21"/>
    <x v="1"/>
    <x v="139"/>
    <x v="0"/>
    <x v="1"/>
    <x v="1"/>
    <x v="478"/>
  </r>
  <r>
    <n v="23"/>
    <x v="1"/>
    <x v="316"/>
    <x v="0"/>
    <x v="1"/>
    <x v="1"/>
    <x v="479"/>
  </r>
  <r>
    <n v="63"/>
    <x v="1"/>
    <x v="317"/>
    <x v="2"/>
    <x v="1"/>
    <x v="2"/>
    <x v="480"/>
  </r>
  <r>
    <n v="49"/>
    <x v="1"/>
    <x v="228"/>
    <x v="3"/>
    <x v="1"/>
    <x v="1"/>
    <x v="481"/>
  </r>
  <r>
    <n v="18"/>
    <x v="0"/>
    <x v="112"/>
    <x v="0"/>
    <x v="1"/>
    <x v="1"/>
    <x v="482"/>
  </r>
  <r>
    <n v="51"/>
    <x v="0"/>
    <x v="318"/>
    <x v="1"/>
    <x v="1"/>
    <x v="0"/>
    <x v="483"/>
  </r>
  <r>
    <n v="48"/>
    <x v="1"/>
    <x v="319"/>
    <x v="2"/>
    <x v="1"/>
    <x v="0"/>
    <x v="484"/>
  </r>
  <r>
    <n v="31"/>
    <x v="0"/>
    <x v="320"/>
    <x v="0"/>
    <x v="1"/>
    <x v="3"/>
    <x v="485"/>
  </r>
  <r>
    <n v="54"/>
    <x v="0"/>
    <x v="321"/>
    <x v="2"/>
    <x v="1"/>
    <x v="2"/>
    <x v="486"/>
  </r>
  <r>
    <n v="19"/>
    <x v="1"/>
    <x v="311"/>
    <x v="0"/>
    <x v="1"/>
    <x v="0"/>
    <x v="487"/>
  </r>
  <r>
    <n v="44"/>
    <x v="0"/>
    <x v="179"/>
    <x v="0"/>
    <x v="0"/>
    <x v="1"/>
    <x v="488"/>
  </r>
  <r>
    <n v="53"/>
    <x v="1"/>
    <x v="84"/>
    <x v="1"/>
    <x v="1"/>
    <x v="2"/>
    <x v="489"/>
  </r>
  <r>
    <n v="19"/>
    <x v="0"/>
    <x v="260"/>
    <x v="0"/>
    <x v="1"/>
    <x v="0"/>
    <x v="490"/>
  </r>
  <r>
    <n v="61"/>
    <x v="0"/>
    <x v="322"/>
    <x v="0"/>
    <x v="1"/>
    <x v="1"/>
    <x v="491"/>
  </r>
  <r>
    <n v="18"/>
    <x v="0"/>
    <x v="322"/>
    <x v="0"/>
    <x v="1"/>
    <x v="3"/>
    <x v="492"/>
  </r>
  <r>
    <n v="61"/>
    <x v="1"/>
    <x v="323"/>
    <x v="0"/>
    <x v="1"/>
    <x v="0"/>
    <x v="493"/>
  </r>
  <r>
    <n v="21"/>
    <x v="1"/>
    <x v="324"/>
    <x v="5"/>
    <x v="0"/>
    <x v="0"/>
    <x v="494"/>
  </r>
  <r>
    <n v="20"/>
    <x v="1"/>
    <x v="325"/>
    <x v="0"/>
    <x v="1"/>
    <x v="3"/>
    <x v="495"/>
  </r>
  <r>
    <n v="31"/>
    <x v="0"/>
    <x v="277"/>
    <x v="3"/>
    <x v="1"/>
    <x v="0"/>
    <x v="496"/>
  </r>
  <r>
    <n v="45"/>
    <x v="1"/>
    <x v="311"/>
    <x v="3"/>
    <x v="1"/>
    <x v="0"/>
    <x v="497"/>
  </r>
  <r>
    <n v="44"/>
    <x v="0"/>
    <x v="68"/>
    <x v="3"/>
    <x v="1"/>
    <x v="1"/>
    <x v="498"/>
  </r>
  <r>
    <n v="62"/>
    <x v="0"/>
    <x v="326"/>
    <x v="0"/>
    <x v="1"/>
    <x v="0"/>
    <x v="499"/>
  </r>
  <r>
    <n v="29"/>
    <x v="1"/>
    <x v="12"/>
    <x v="0"/>
    <x v="0"/>
    <x v="0"/>
    <x v="500"/>
  </r>
  <r>
    <n v="43"/>
    <x v="1"/>
    <x v="327"/>
    <x v="0"/>
    <x v="1"/>
    <x v="3"/>
    <x v="501"/>
  </r>
  <r>
    <n v="51"/>
    <x v="1"/>
    <x v="174"/>
    <x v="1"/>
    <x v="0"/>
    <x v="1"/>
    <x v="502"/>
  </r>
  <r>
    <n v="19"/>
    <x v="1"/>
    <x v="328"/>
    <x v="0"/>
    <x v="0"/>
    <x v="1"/>
    <x v="503"/>
  </r>
  <r>
    <n v="38"/>
    <x v="0"/>
    <x v="329"/>
    <x v="1"/>
    <x v="1"/>
    <x v="1"/>
    <x v="504"/>
  </r>
  <r>
    <n v="37"/>
    <x v="1"/>
    <x v="99"/>
    <x v="2"/>
    <x v="1"/>
    <x v="2"/>
    <x v="505"/>
  </r>
  <r>
    <n v="22"/>
    <x v="1"/>
    <x v="112"/>
    <x v="1"/>
    <x v="1"/>
    <x v="2"/>
    <x v="506"/>
  </r>
  <r>
    <n v="21"/>
    <x v="1"/>
    <x v="110"/>
    <x v="3"/>
    <x v="1"/>
    <x v="2"/>
    <x v="507"/>
  </r>
  <r>
    <n v="24"/>
    <x v="0"/>
    <x v="235"/>
    <x v="0"/>
    <x v="1"/>
    <x v="3"/>
    <x v="508"/>
  </r>
  <r>
    <n v="57"/>
    <x v="0"/>
    <x v="311"/>
    <x v="0"/>
    <x v="1"/>
    <x v="0"/>
    <x v="509"/>
  </r>
  <r>
    <n v="56"/>
    <x v="1"/>
    <x v="159"/>
    <x v="1"/>
    <x v="1"/>
    <x v="3"/>
    <x v="510"/>
  </r>
  <r>
    <n v="27"/>
    <x v="1"/>
    <x v="61"/>
    <x v="0"/>
    <x v="1"/>
    <x v="1"/>
    <x v="511"/>
  </r>
  <r>
    <n v="51"/>
    <x v="1"/>
    <x v="64"/>
    <x v="0"/>
    <x v="1"/>
    <x v="3"/>
    <x v="512"/>
  </r>
  <r>
    <n v="19"/>
    <x v="1"/>
    <x v="257"/>
    <x v="0"/>
    <x v="1"/>
    <x v="0"/>
    <x v="513"/>
  </r>
  <r>
    <n v="39"/>
    <x v="1"/>
    <x v="115"/>
    <x v="1"/>
    <x v="0"/>
    <x v="0"/>
    <x v="514"/>
  </r>
  <r>
    <n v="58"/>
    <x v="1"/>
    <x v="330"/>
    <x v="0"/>
    <x v="1"/>
    <x v="0"/>
    <x v="515"/>
  </r>
  <r>
    <n v="20"/>
    <x v="1"/>
    <x v="331"/>
    <x v="1"/>
    <x v="1"/>
    <x v="1"/>
    <x v="516"/>
  </r>
  <r>
    <n v="45"/>
    <x v="1"/>
    <x v="131"/>
    <x v="3"/>
    <x v="1"/>
    <x v="2"/>
    <x v="517"/>
  </r>
  <r>
    <n v="35"/>
    <x v="0"/>
    <x v="332"/>
    <x v="1"/>
    <x v="1"/>
    <x v="0"/>
    <x v="518"/>
  </r>
  <r>
    <n v="31"/>
    <x v="1"/>
    <x v="99"/>
    <x v="0"/>
    <x v="1"/>
    <x v="3"/>
    <x v="519"/>
  </r>
  <r>
    <n v="50"/>
    <x v="0"/>
    <x v="60"/>
    <x v="0"/>
    <x v="1"/>
    <x v="3"/>
    <x v="520"/>
  </r>
  <r>
    <n v="32"/>
    <x v="0"/>
    <x v="333"/>
    <x v="0"/>
    <x v="1"/>
    <x v="1"/>
    <x v="521"/>
  </r>
  <r>
    <n v="51"/>
    <x v="0"/>
    <x v="113"/>
    <x v="0"/>
    <x v="1"/>
    <x v="3"/>
    <x v="522"/>
  </r>
  <r>
    <n v="38"/>
    <x v="0"/>
    <x v="132"/>
    <x v="0"/>
    <x v="1"/>
    <x v="1"/>
    <x v="523"/>
  </r>
  <r>
    <n v="42"/>
    <x v="1"/>
    <x v="334"/>
    <x v="1"/>
    <x v="0"/>
    <x v="1"/>
    <x v="524"/>
  </r>
  <r>
    <n v="18"/>
    <x v="0"/>
    <x v="178"/>
    <x v="0"/>
    <x v="1"/>
    <x v="1"/>
    <x v="525"/>
  </r>
  <r>
    <n v="19"/>
    <x v="0"/>
    <x v="162"/>
    <x v="3"/>
    <x v="1"/>
    <x v="2"/>
    <x v="526"/>
  </r>
  <r>
    <n v="51"/>
    <x v="0"/>
    <x v="335"/>
    <x v="1"/>
    <x v="1"/>
    <x v="0"/>
    <x v="527"/>
  </r>
  <r>
    <n v="46"/>
    <x v="1"/>
    <x v="336"/>
    <x v="1"/>
    <x v="1"/>
    <x v="3"/>
    <x v="528"/>
  </r>
  <r>
    <n v="18"/>
    <x v="1"/>
    <x v="94"/>
    <x v="0"/>
    <x v="1"/>
    <x v="3"/>
    <x v="529"/>
  </r>
  <r>
    <n v="57"/>
    <x v="1"/>
    <x v="14"/>
    <x v="1"/>
    <x v="0"/>
    <x v="1"/>
    <x v="530"/>
  </r>
  <r>
    <n v="62"/>
    <x v="0"/>
    <x v="294"/>
    <x v="0"/>
    <x v="1"/>
    <x v="3"/>
    <x v="531"/>
  </r>
  <r>
    <n v="59"/>
    <x v="1"/>
    <x v="102"/>
    <x v="3"/>
    <x v="1"/>
    <x v="1"/>
    <x v="532"/>
  </r>
  <r>
    <n v="37"/>
    <x v="1"/>
    <x v="67"/>
    <x v="0"/>
    <x v="1"/>
    <x v="1"/>
    <x v="533"/>
  </r>
  <r>
    <n v="64"/>
    <x v="1"/>
    <x v="337"/>
    <x v="0"/>
    <x v="1"/>
    <x v="1"/>
    <x v="534"/>
  </r>
  <r>
    <n v="38"/>
    <x v="1"/>
    <x v="24"/>
    <x v="1"/>
    <x v="1"/>
    <x v="3"/>
    <x v="535"/>
  </r>
  <r>
    <n v="33"/>
    <x v="0"/>
    <x v="338"/>
    <x v="2"/>
    <x v="1"/>
    <x v="0"/>
    <x v="536"/>
  </r>
  <r>
    <n v="46"/>
    <x v="0"/>
    <x v="204"/>
    <x v="3"/>
    <x v="1"/>
    <x v="0"/>
    <x v="537"/>
  </r>
  <r>
    <n v="46"/>
    <x v="0"/>
    <x v="123"/>
    <x v="1"/>
    <x v="1"/>
    <x v="1"/>
    <x v="538"/>
  </r>
  <r>
    <n v="53"/>
    <x v="1"/>
    <x v="112"/>
    <x v="0"/>
    <x v="1"/>
    <x v="1"/>
    <x v="539"/>
  </r>
  <r>
    <n v="34"/>
    <x v="0"/>
    <x v="229"/>
    <x v="2"/>
    <x v="1"/>
    <x v="0"/>
    <x v="540"/>
  </r>
  <r>
    <n v="20"/>
    <x v="0"/>
    <x v="211"/>
    <x v="3"/>
    <x v="1"/>
    <x v="1"/>
    <x v="541"/>
  </r>
  <r>
    <n v="63"/>
    <x v="0"/>
    <x v="29"/>
    <x v="0"/>
    <x v="1"/>
    <x v="1"/>
    <x v="542"/>
  </r>
  <r>
    <n v="54"/>
    <x v="0"/>
    <x v="339"/>
    <x v="0"/>
    <x v="0"/>
    <x v="1"/>
    <x v="543"/>
  </r>
  <r>
    <n v="54"/>
    <x v="1"/>
    <x v="267"/>
    <x v="0"/>
    <x v="1"/>
    <x v="2"/>
    <x v="544"/>
  </r>
  <r>
    <n v="49"/>
    <x v="1"/>
    <x v="9"/>
    <x v="3"/>
    <x v="0"/>
    <x v="2"/>
    <x v="545"/>
  </r>
  <r>
    <n v="28"/>
    <x v="1"/>
    <x v="340"/>
    <x v="0"/>
    <x v="1"/>
    <x v="3"/>
    <x v="546"/>
  </r>
  <r>
    <n v="54"/>
    <x v="0"/>
    <x v="341"/>
    <x v="3"/>
    <x v="1"/>
    <x v="0"/>
    <x v="547"/>
  </r>
  <r>
    <n v="25"/>
    <x v="0"/>
    <x v="105"/>
    <x v="0"/>
    <x v="1"/>
    <x v="3"/>
    <x v="548"/>
  </r>
  <r>
    <n v="43"/>
    <x v="0"/>
    <x v="342"/>
    <x v="0"/>
    <x v="0"/>
    <x v="1"/>
    <x v="549"/>
  </r>
  <r>
    <n v="63"/>
    <x v="1"/>
    <x v="43"/>
    <x v="0"/>
    <x v="1"/>
    <x v="0"/>
    <x v="550"/>
  </r>
  <r>
    <n v="32"/>
    <x v="0"/>
    <x v="329"/>
    <x v="0"/>
    <x v="1"/>
    <x v="1"/>
    <x v="551"/>
  </r>
  <r>
    <n v="62"/>
    <x v="1"/>
    <x v="343"/>
    <x v="0"/>
    <x v="1"/>
    <x v="0"/>
    <x v="552"/>
  </r>
  <r>
    <n v="52"/>
    <x v="0"/>
    <x v="294"/>
    <x v="3"/>
    <x v="1"/>
    <x v="2"/>
    <x v="553"/>
  </r>
  <r>
    <n v="25"/>
    <x v="0"/>
    <x v="317"/>
    <x v="0"/>
    <x v="1"/>
    <x v="3"/>
    <x v="554"/>
  </r>
  <r>
    <n v="28"/>
    <x v="1"/>
    <x v="344"/>
    <x v="3"/>
    <x v="1"/>
    <x v="0"/>
    <x v="555"/>
  </r>
  <r>
    <n v="46"/>
    <x v="1"/>
    <x v="6"/>
    <x v="1"/>
    <x v="1"/>
    <x v="3"/>
    <x v="556"/>
  </r>
  <r>
    <n v="34"/>
    <x v="1"/>
    <x v="194"/>
    <x v="0"/>
    <x v="1"/>
    <x v="1"/>
    <x v="557"/>
  </r>
  <r>
    <n v="35"/>
    <x v="0"/>
    <x v="237"/>
    <x v="2"/>
    <x v="0"/>
    <x v="2"/>
    <x v="558"/>
  </r>
  <r>
    <n v="19"/>
    <x v="1"/>
    <x v="76"/>
    <x v="0"/>
    <x v="1"/>
    <x v="2"/>
    <x v="559"/>
  </r>
  <r>
    <n v="46"/>
    <x v="0"/>
    <x v="91"/>
    <x v="3"/>
    <x v="1"/>
    <x v="2"/>
    <x v="560"/>
  </r>
  <r>
    <n v="54"/>
    <x v="0"/>
    <x v="297"/>
    <x v="0"/>
    <x v="1"/>
    <x v="3"/>
    <x v="561"/>
  </r>
  <r>
    <n v="27"/>
    <x v="1"/>
    <x v="252"/>
    <x v="0"/>
    <x v="1"/>
    <x v="0"/>
    <x v="562"/>
  </r>
  <r>
    <n v="50"/>
    <x v="1"/>
    <x v="345"/>
    <x v="1"/>
    <x v="1"/>
    <x v="1"/>
    <x v="563"/>
  </r>
  <r>
    <n v="18"/>
    <x v="0"/>
    <x v="346"/>
    <x v="3"/>
    <x v="1"/>
    <x v="1"/>
    <x v="564"/>
  </r>
  <r>
    <n v="19"/>
    <x v="0"/>
    <x v="131"/>
    <x v="0"/>
    <x v="1"/>
    <x v="2"/>
    <x v="565"/>
  </r>
  <r>
    <n v="38"/>
    <x v="0"/>
    <x v="214"/>
    <x v="1"/>
    <x v="1"/>
    <x v="2"/>
    <x v="566"/>
  </r>
  <r>
    <n v="41"/>
    <x v="1"/>
    <x v="162"/>
    <x v="3"/>
    <x v="1"/>
    <x v="2"/>
    <x v="567"/>
  </r>
  <r>
    <n v="49"/>
    <x v="0"/>
    <x v="125"/>
    <x v="4"/>
    <x v="1"/>
    <x v="0"/>
    <x v="568"/>
  </r>
  <r>
    <n v="48"/>
    <x v="1"/>
    <x v="214"/>
    <x v="3"/>
    <x v="0"/>
    <x v="2"/>
    <x v="569"/>
  </r>
  <r>
    <n v="31"/>
    <x v="0"/>
    <x v="347"/>
    <x v="0"/>
    <x v="1"/>
    <x v="0"/>
    <x v="570"/>
  </r>
  <r>
    <n v="18"/>
    <x v="0"/>
    <x v="348"/>
    <x v="1"/>
    <x v="1"/>
    <x v="1"/>
    <x v="571"/>
  </r>
  <r>
    <n v="30"/>
    <x v="0"/>
    <x v="349"/>
    <x v="3"/>
    <x v="1"/>
    <x v="1"/>
    <x v="572"/>
  </r>
  <r>
    <n v="62"/>
    <x v="0"/>
    <x v="350"/>
    <x v="1"/>
    <x v="1"/>
    <x v="3"/>
    <x v="573"/>
  </r>
  <r>
    <n v="57"/>
    <x v="0"/>
    <x v="351"/>
    <x v="3"/>
    <x v="1"/>
    <x v="3"/>
    <x v="574"/>
  </r>
  <r>
    <n v="58"/>
    <x v="0"/>
    <x v="107"/>
    <x v="0"/>
    <x v="1"/>
    <x v="2"/>
    <x v="575"/>
  </r>
  <r>
    <n v="22"/>
    <x v="1"/>
    <x v="199"/>
    <x v="0"/>
    <x v="1"/>
    <x v="1"/>
    <x v="576"/>
  </r>
  <r>
    <n v="31"/>
    <x v="0"/>
    <x v="309"/>
    <x v="1"/>
    <x v="0"/>
    <x v="3"/>
    <x v="577"/>
  </r>
  <r>
    <n v="52"/>
    <x v="1"/>
    <x v="204"/>
    <x v="1"/>
    <x v="1"/>
    <x v="0"/>
    <x v="578"/>
  </r>
  <r>
    <n v="25"/>
    <x v="0"/>
    <x v="352"/>
    <x v="0"/>
    <x v="1"/>
    <x v="3"/>
    <x v="579"/>
  </r>
  <r>
    <n v="59"/>
    <x v="1"/>
    <x v="94"/>
    <x v="1"/>
    <x v="1"/>
    <x v="3"/>
    <x v="580"/>
  </r>
  <r>
    <n v="19"/>
    <x v="1"/>
    <x v="162"/>
    <x v="0"/>
    <x v="1"/>
    <x v="2"/>
    <x v="195"/>
  </r>
  <r>
    <n v="39"/>
    <x v="1"/>
    <x v="353"/>
    <x v="3"/>
    <x v="1"/>
    <x v="1"/>
    <x v="581"/>
  </r>
  <r>
    <n v="32"/>
    <x v="0"/>
    <x v="354"/>
    <x v="1"/>
    <x v="1"/>
    <x v="1"/>
    <x v="582"/>
  </r>
  <r>
    <n v="19"/>
    <x v="1"/>
    <x v="355"/>
    <x v="0"/>
    <x v="1"/>
    <x v="0"/>
    <x v="583"/>
  </r>
  <r>
    <n v="33"/>
    <x v="0"/>
    <x v="356"/>
    <x v="1"/>
    <x v="1"/>
    <x v="1"/>
    <x v="584"/>
  </r>
  <r>
    <n v="21"/>
    <x v="1"/>
    <x v="281"/>
    <x v="2"/>
    <x v="1"/>
    <x v="3"/>
    <x v="585"/>
  </r>
  <r>
    <n v="34"/>
    <x v="0"/>
    <x v="267"/>
    <x v="1"/>
    <x v="0"/>
    <x v="2"/>
    <x v="586"/>
  </r>
  <r>
    <n v="61"/>
    <x v="0"/>
    <x v="357"/>
    <x v="0"/>
    <x v="1"/>
    <x v="3"/>
    <x v="587"/>
  </r>
  <r>
    <n v="38"/>
    <x v="0"/>
    <x v="155"/>
    <x v="1"/>
    <x v="1"/>
    <x v="1"/>
    <x v="588"/>
  </r>
  <r>
    <n v="58"/>
    <x v="0"/>
    <x v="358"/>
    <x v="0"/>
    <x v="1"/>
    <x v="0"/>
    <x v="589"/>
  </r>
  <r>
    <n v="47"/>
    <x v="1"/>
    <x v="359"/>
    <x v="1"/>
    <x v="1"/>
    <x v="2"/>
    <x v="590"/>
  </r>
  <r>
    <n v="20"/>
    <x v="1"/>
    <x v="360"/>
    <x v="3"/>
    <x v="1"/>
    <x v="1"/>
    <x v="591"/>
  </r>
  <r>
    <n v="21"/>
    <x v="0"/>
    <x v="361"/>
    <x v="1"/>
    <x v="0"/>
    <x v="3"/>
    <x v="592"/>
  </r>
  <r>
    <n v="41"/>
    <x v="1"/>
    <x v="362"/>
    <x v="0"/>
    <x v="1"/>
    <x v="1"/>
    <x v="593"/>
  </r>
  <r>
    <n v="46"/>
    <x v="0"/>
    <x v="363"/>
    <x v="1"/>
    <x v="1"/>
    <x v="3"/>
    <x v="594"/>
  </r>
  <r>
    <n v="42"/>
    <x v="0"/>
    <x v="364"/>
    <x v="3"/>
    <x v="1"/>
    <x v="1"/>
    <x v="595"/>
  </r>
  <r>
    <n v="34"/>
    <x v="0"/>
    <x v="176"/>
    <x v="1"/>
    <x v="1"/>
    <x v="3"/>
    <x v="596"/>
  </r>
  <r>
    <n v="43"/>
    <x v="1"/>
    <x v="365"/>
    <x v="3"/>
    <x v="1"/>
    <x v="0"/>
    <x v="597"/>
  </r>
  <r>
    <n v="52"/>
    <x v="0"/>
    <x v="366"/>
    <x v="3"/>
    <x v="1"/>
    <x v="2"/>
    <x v="598"/>
  </r>
  <r>
    <n v="18"/>
    <x v="0"/>
    <x v="287"/>
    <x v="0"/>
    <x v="1"/>
    <x v="1"/>
    <x v="599"/>
  </r>
  <r>
    <n v="51"/>
    <x v="1"/>
    <x v="181"/>
    <x v="0"/>
    <x v="1"/>
    <x v="2"/>
    <x v="600"/>
  </r>
  <r>
    <n v="56"/>
    <x v="0"/>
    <x v="128"/>
    <x v="0"/>
    <x v="1"/>
    <x v="0"/>
    <x v="601"/>
  </r>
  <r>
    <n v="64"/>
    <x v="0"/>
    <x v="266"/>
    <x v="2"/>
    <x v="1"/>
    <x v="1"/>
    <x v="602"/>
  </r>
  <r>
    <n v="19"/>
    <x v="0"/>
    <x v="33"/>
    <x v="0"/>
    <x v="0"/>
    <x v="2"/>
    <x v="603"/>
  </r>
  <r>
    <n v="51"/>
    <x v="0"/>
    <x v="22"/>
    <x v="0"/>
    <x v="1"/>
    <x v="1"/>
    <x v="604"/>
  </r>
  <r>
    <n v="27"/>
    <x v="0"/>
    <x v="124"/>
    <x v="0"/>
    <x v="1"/>
    <x v="3"/>
    <x v="605"/>
  </r>
  <r>
    <n v="59"/>
    <x v="0"/>
    <x v="367"/>
    <x v="0"/>
    <x v="0"/>
    <x v="2"/>
    <x v="606"/>
  </r>
  <r>
    <n v="28"/>
    <x v="1"/>
    <x v="86"/>
    <x v="3"/>
    <x v="1"/>
    <x v="3"/>
    <x v="607"/>
  </r>
  <r>
    <n v="30"/>
    <x v="1"/>
    <x v="368"/>
    <x v="3"/>
    <x v="0"/>
    <x v="0"/>
    <x v="608"/>
  </r>
  <r>
    <n v="47"/>
    <x v="0"/>
    <x v="205"/>
    <x v="1"/>
    <x v="1"/>
    <x v="1"/>
    <x v="609"/>
  </r>
  <r>
    <n v="38"/>
    <x v="0"/>
    <x v="82"/>
    <x v="3"/>
    <x v="1"/>
    <x v="0"/>
    <x v="610"/>
  </r>
  <r>
    <n v="18"/>
    <x v="0"/>
    <x v="145"/>
    <x v="0"/>
    <x v="1"/>
    <x v="3"/>
    <x v="611"/>
  </r>
  <r>
    <n v="34"/>
    <x v="0"/>
    <x v="369"/>
    <x v="2"/>
    <x v="1"/>
    <x v="3"/>
    <x v="612"/>
  </r>
  <r>
    <n v="20"/>
    <x v="0"/>
    <x v="2"/>
    <x v="0"/>
    <x v="1"/>
    <x v="1"/>
    <x v="613"/>
  </r>
  <r>
    <n v="47"/>
    <x v="0"/>
    <x v="41"/>
    <x v="1"/>
    <x v="0"/>
    <x v="1"/>
    <x v="614"/>
  </r>
  <r>
    <n v="56"/>
    <x v="0"/>
    <x v="105"/>
    <x v="0"/>
    <x v="1"/>
    <x v="3"/>
    <x v="615"/>
  </r>
  <r>
    <n v="49"/>
    <x v="1"/>
    <x v="248"/>
    <x v="3"/>
    <x v="0"/>
    <x v="0"/>
    <x v="616"/>
  </r>
  <r>
    <n v="19"/>
    <x v="0"/>
    <x v="293"/>
    <x v="0"/>
    <x v="0"/>
    <x v="1"/>
    <x v="617"/>
  </r>
  <r>
    <n v="55"/>
    <x v="0"/>
    <x v="109"/>
    <x v="0"/>
    <x v="1"/>
    <x v="0"/>
    <x v="618"/>
  </r>
  <r>
    <n v="30"/>
    <x v="1"/>
    <x v="234"/>
    <x v="1"/>
    <x v="1"/>
    <x v="0"/>
    <x v="619"/>
  </r>
  <r>
    <n v="37"/>
    <x v="1"/>
    <x v="22"/>
    <x v="5"/>
    <x v="0"/>
    <x v="0"/>
    <x v="620"/>
  </r>
  <r>
    <n v="49"/>
    <x v="0"/>
    <x v="370"/>
    <x v="1"/>
    <x v="1"/>
    <x v="0"/>
    <x v="621"/>
  </r>
  <r>
    <n v="18"/>
    <x v="1"/>
    <x v="371"/>
    <x v="0"/>
    <x v="0"/>
    <x v="3"/>
    <x v="622"/>
  </r>
  <r>
    <n v="59"/>
    <x v="1"/>
    <x v="114"/>
    <x v="0"/>
    <x v="1"/>
    <x v="2"/>
    <x v="623"/>
  </r>
  <r>
    <n v="29"/>
    <x v="0"/>
    <x v="327"/>
    <x v="0"/>
    <x v="1"/>
    <x v="2"/>
    <x v="624"/>
  </r>
  <r>
    <n v="36"/>
    <x v="1"/>
    <x v="4"/>
    <x v="2"/>
    <x v="1"/>
    <x v="3"/>
    <x v="625"/>
  </r>
  <r>
    <n v="33"/>
    <x v="1"/>
    <x v="372"/>
    <x v="1"/>
    <x v="1"/>
    <x v="1"/>
    <x v="626"/>
  </r>
  <r>
    <n v="58"/>
    <x v="1"/>
    <x v="229"/>
    <x v="0"/>
    <x v="1"/>
    <x v="0"/>
    <x v="627"/>
  </r>
  <r>
    <n v="44"/>
    <x v="0"/>
    <x v="373"/>
    <x v="0"/>
    <x v="0"/>
    <x v="2"/>
    <x v="628"/>
  </r>
  <r>
    <n v="53"/>
    <x v="1"/>
    <x v="374"/>
    <x v="1"/>
    <x v="1"/>
    <x v="0"/>
    <x v="629"/>
  </r>
  <r>
    <n v="24"/>
    <x v="1"/>
    <x v="375"/>
    <x v="0"/>
    <x v="1"/>
    <x v="0"/>
    <x v="630"/>
  </r>
  <r>
    <n v="29"/>
    <x v="0"/>
    <x v="76"/>
    <x v="0"/>
    <x v="1"/>
    <x v="1"/>
    <x v="631"/>
  </r>
  <r>
    <n v="40"/>
    <x v="1"/>
    <x v="3"/>
    <x v="3"/>
    <x v="1"/>
    <x v="3"/>
    <x v="632"/>
  </r>
  <r>
    <n v="51"/>
    <x v="1"/>
    <x v="376"/>
    <x v="1"/>
    <x v="1"/>
    <x v="0"/>
    <x v="633"/>
  </r>
  <r>
    <n v="64"/>
    <x v="1"/>
    <x v="377"/>
    <x v="0"/>
    <x v="1"/>
    <x v="3"/>
    <x v="634"/>
  </r>
  <r>
    <n v="19"/>
    <x v="0"/>
    <x v="184"/>
    <x v="1"/>
    <x v="1"/>
    <x v="2"/>
    <x v="635"/>
  </r>
  <r>
    <n v="35"/>
    <x v="0"/>
    <x v="309"/>
    <x v="3"/>
    <x v="1"/>
    <x v="3"/>
    <x v="636"/>
  </r>
  <r>
    <n v="39"/>
    <x v="1"/>
    <x v="154"/>
    <x v="0"/>
    <x v="0"/>
    <x v="3"/>
    <x v="637"/>
  </r>
  <r>
    <n v="56"/>
    <x v="1"/>
    <x v="61"/>
    <x v="5"/>
    <x v="1"/>
    <x v="1"/>
    <x v="638"/>
  </r>
  <r>
    <n v="33"/>
    <x v="1"/>
    <x v="378"/>
    <x v="4"/>
    <x v="1"/>
    <x v="0"/>
    <x v="639"/>
  </r>
  <r>
    <n v="42"/>
    <x v="1"/>
    <x v="33"/>
    <x v="2"/>
    <x v="0"/>
    <x v="2"/>
    <x v="640"/>
  </r>
  <r>
    <n v="61"/>
    <x v="1"/>
    <x v="113"/>
    <x v="0"/>
    <x v="1"/>
    <x v="3"/>
    <x v="641"/>
  </r>
  <r>
    <n v="23"/>
    <x v="0"/>
    <x v="379"/>
    <x v="2"/>
    <x v="1"/>
    <x v="2"/>
    <x v="642"/>
  </r>
  <r>
    <n v="43"/>
    <x v="1"/>
    <x v="331"/>
    <x v="3"/>
    <x v="1"/>
    <x v="1"/>
    <x v="643"/>
  </r>
  <r>
    <n v="48"/>
    <x v="1"/>
    <x v="16"/>
    <x v="2"/>
    <x v="1"/>
    <x v="3"/>
    <x v="644"/>
  </r>
  <r>
    <n v="39"/>
    <x v="1"/>
    <x v="10"/>
    <x v="1"/>
    <x v="1"/>
    <x v="2"/>
    <x v="645"/>
  </r>
  <r>
    <n v="40"/>
    <x v="0"/>
    <x v="108"/>
    <x v="2"/>
    <x v="1"/>
    <x v="3"/>
    <x v="646"/>
  </r>
  <r>
    <n v="18"/>
    <x v="1"/>
    <x v="70"/>
    <x v="0"/>
    <x v="1"/>
    <x v="3"/>
    <x v="647"/>
  </r>
  <r>
    <n v="58"/>
    <x v="0"/>
    <x v="36"/>
    <x v="0"/>
    <x v="1"/>
    <x v="3"/>
    <x v="648"/>
  </r>
  <r>
    <n v="49"/>
    <x v="0"/>
    <x v="380"/>
    <x v="3"/>
    <x v="1"/>
    <x v="1"/>
    <x v="649"/>
  </r>
  <r>
    <n v="53"/>
    <x v="0"/>
    <x v="140"/>
    <x v="1"/>
    <x v="1"/>
    <x v="1"/>
    <x v="650"/>
  </r>
  <r>
    <n v="48"/>
    <x v="0"/>
    <x v="360"/>
    <x v="0"/>
    <x v="1"/>
    <x v="1"/>
    <x v="651"/>
  </r>
  <r>
    <n v="45"/>
    <x v="0"/>
    <x v="29"/>
    <x v="3"/>
    <x v="1"/>
    <x v="1"/>
    <x v="652"/>
  </r>
  <r>
    <n v="59"/>
    <x v="0"/>
    <x v="49"/>
    <x v="0"/>
    <x v="1"/>
    <x v="1"/>
    <x v="653"/>
  </r>
  <r>
    <n v="52"/>
    <x v="0"/>
    <x v="128"/>
    <x v="3"/>
    <x v="0"/>
    <x v="1"/>
    <x v="654"/>
  </r>
  <r>
    <n v="26"/>
    <x v="0"/>
    <x v="378"/>
    <x v="1"/>
    <x v="1"/>
    <x v="0"/>
    <x v="655"/>
  </r>
  <r>
    <n v="27"/>
    <x v="1"/>
    <x v="145"/>
    <x v="3"/>
    <x v="1"/>
    <x v="2"/>
    <x v="656"/>
  </r>
  <r>
    <n v="48"/>
    <x v="0"/>
    <x v="357"/>
    <x v="1"/>
    <x v="1"/>
    <x v="3"/>
    <x v="657"/>
  </r>
  <r>
    <n v="57"/>
    <x v="0"/>
    <x v="114"/>
    <x v="5"/>
    <x v="1"/>
    <x v="3"/>
    <x v="658"/>
  </r>
  <r>
    <n v="37"/>
    <x v="1"/>
    <x v="306"/>
    <x v="2"/>
    <x v="1"/>
    <x v="1"/>
    <x v="659"/>
  </r>
  <r>
    <n v="57"/>
    <x v="0"/>
    <x v="68"/>
    <x v="1"/>
    <x v="1"/>
    <x v="1"/>
    <x v="660"/>
  </r>
  <r>
    <n v="32"/>
    <x v="0"/>
    <x v="381"/>
    <x v="1"/>
    <x v="1"/>
    <x v="3"/>
    <x v="661"/>
  </r>
  <r>
    <n v="18"/>
    <x v="1"/>
    <x v="61"/>
    <x v="0"/>
    <x v="1"/>
    <x v="1"/>
    <x v="662"/>
  </r>
  <r>
    <n v="64"/>
    <x v="0"/>
    <x v="223"/>
    <x v="0"/>
    <x v="0"/>
    <x v="1"/>
    <x v="663"/>
  </r>
  <r>
    <n v="43"/>
    <x v="1"/>
    <x v="179"/>
    <x v="3"/>
    <x v="0"/>
    <x v="1"/>
    <x v="664"/>
  </r>
  <r>
    <n v="49"/>
    <x v="1"/>
    <x v="311"/>
    <x v="1"/>
    <x v="1"/>
    <x v="0"/>
    <x v="665"/>
  </r>
  <r>
    <n v="40"/>
    <x v="0"/>
    <x v="27"/>
    <x v="3"/>
    <x v="0"/>
    <x v="2"/>
    <x v="666"/>
  </r>
  <r>
    <n v="62"/>
    <x v="1"/>
    <x v="256"/>
    <x v="0"/>
    <x v="0"/>
    <x v="3"/>
    <x v="667"/>
  </r>
  <r>
    <n v="40"/>
    <x v="0"/>
    <x v="382"/>
    <x v="1"/>
    <x v="1"/>
    <x v="1"/>
    <x v="668"/>
  </r>
  <r>
    <n v="30"/>
    <x v="1"/>
    <x v="160"/>
    <x v="2"/>
    <x v="1"/>
    <x v="1"/>
    <x v="669"/>
  </r>
  <r>
    <n v="29"/>
    <x v="0"/>
    <x v="84"/>
    <x v="0"/>
    <x v="1"/>
    <x v="3"/>
    <x v="670"/>
  </r>
  <r>
    <n v="36"/>
    <x v="1"/>
    <x v="102"/>
    <x v="0"/>
    <x v="1"/>
    <x v="1"/>
    <x v="671"/>
  </r>
  <r>
    <n v="41"/>
    <x v="0"/>
    <x v="270"/>
    <x v="0"/>
    <x v="1"/>
    <x v="1"/>
    <x v="672"/>
  </r>
  <r>
    <n v="44"/>
    <x v="0"/>
    <x v="250"/>
    <x v="3"/>
    <x v="0"/>
    <x v="1"/>
    <x v="673"/>
  </r>
  <r>
    <n v="45"/>
    <x v="1"/>
    <x v="383"/>
    <x v="0"/>
    <x v="1"/>
    <x v="2"/>
    <x v="674"/>
  </r>
  <r>
    <n v="55"/>
    <x v="0"/>
    <x v="384"/>
    <x v="2"/>
    <x v="1"/>
    <x v="1"/>
    <x v="675"/>
  </r>
  <r>
    <n v="60"/>
    <x v="1"/>
    <x v="112"/>
    <x v="2"/>
    <x v="0"/>
    <x v="2"/>
    <x v="676"/>
  </r>
  <r>
    <n v="56"/>
    <x v="1"/>
    <x v="374"/>
    <x v="2"/>
    <x v="1"/>
    <x v="0"/>
    <x v="677"/>
  </r>
  <r>
    <n v="49"/>
    <x v="0"/>
    <x v="247"/>
    <x v="3"/>
    <x v="1"/>
    <x v="2"/>
    <x v="678"/>
  </r>
  <r>
    <n v="21"/>
    <x v="0"/>
    <x v="385"/>
    <x v="1"/>
    <x v="1"/>
    <x v="0"/>
    <x v="679"/>
  </r>
  <r>
    <n v="19"/>
    <x v="1"/>
    <x v="386"/>
    <x v="0"/>
    <x v="1"/>
    <x v="0"/>
    <x v="680"/>
  </r>
  <r>
    <n v="39"/>
    <x v="1"/>
    <x v="19"/>
    <x v="3"/>
    <x v="0"/>
    <x v="0"/>
    <x v="681"/>
  </r>
  <r>
    <n v="53"/>
    <x v="1"/>
    <x v="200"/>
    <x v="0"/>
    <x v="1"/>
    <x v="2"/>
    <x v="682"/>
  </r>
  <r>
    <n v="33"/>
    <x v="0"/>
    <x v="387"/>
    <x v="1"/>
    <x v="1"/>
    <x v="0"/>
    <x v="683"/>
  </r>
  <r>
    <n v="53"/>
    <x v="1"/>
    <x v="154"/>
    <x v="3"/>
    <x v="1"/>
    <x v="3"/>
    <x v="684"/>
  </r>
  <r>
    <n v="42"/>
    <x v="1"/>
    <x v="388"/>
    <x v="3"/>
    <x v="1"/>
    <x v="3"/>
    <x v="685"/>
  </r>
  <r>
    <n v="40"/>
    <x v="1"/>
    <x v="389"/>
    <x v="0"/>
    <x v="1"/>
    <x v="1"/>
    <x v="686"/>
  </r>
  <r>
    <n v="47"/>
    <x v="0"/>
    <x v="390"/>
    <x v="1"/>
    <x v="1"/>
    <x v="0"/>
    <x v="687"/>
  </r>
  <r>
    <n v="27"/>
    <x v="1"/>
    <x v="360"/>
    <x v="1"/>
    <x v="0"/>
    <x v="1"/>
    <x v="688"/>
  </r>
  <r>
    <n v="21"/>
    <x v="1"/>
    <x v="60"/>
    <x v="0"/>
    <x v="1"/>
    <x v="3"/>
    <x v="689"/>
  </r>
  <r>
    <n v="47"/>
    <x v="1"/>
    <x v="391"/>
    <x v="1"/>
    <x v="1"/>
    <x v="0"/>
    <x v="690"/>
  </r>
  <r>
    <n v="20"/>
    <x v="1"/>
    <x v="203"/>
    <x v="1"/>
    <x v="1"/>
    <x v="2"/>
    <x v="691"/>
  </r>
  <r>
    <n v="24"/>
    <x v="1"/>
    <x v="367"/>
    <x v="0"/>
    <x v="1"/>
    <x v="2"/>
    <x v="692"/>
  </r>
  <r>
    <n v="27"/>
    <x v="0"/>
    <x v="82"/>
    <x v="1"/>
    <x v="1"/>
    <x v="0"/>
    <x v="693"/>
  </r>
  <r>
    <n v="26"/>
    <x v="0"/>
    <x v="392"/>
    <x v="0"/>
    <x v="1"/>
    <x v="2"/>
    <x v="694"/>
  </r>
  <r>
    <n v="53"/>
    <x v="0"/>
    <x v="243"/>
    <x v="3"/>
    <x v="1"/>
    <x v="3"/>
    <x v="695"/>
  </r>
  <r>
    <n v="41"/>
    <x v="1"/>
    <x v="246"/>
    <x v="1"/>
    <x v="0"/>
    <x v="1"/>
    <x v="696"/>
  </r>
  <r>
    <n v="56"/>
    <x v="1"/>
    <x v="363"/>
    <x v="0"/>
    <x v="1"/>
    <x v="2"/>
    <x v="697"/>
  </r>
  <r>
    <n v="23"/>
    <x v="0"/>
    <x v="393"/>
    <x v="3"/>
    <x v="1"/>
    <x v="1"/>
    <x v="698"/>
  </r>
  <r>
    <n v="21"/>
    <x v="0"/>
    <x v="394"/>
    <x v="0"/>
    <x v="1"/>
    <x v="1"/>
    <x v="699"/>
  </r>
  <r>
    <n v="50"/>
    <x v="0"/>
    <x v="395"/>
    <x v="0"/>
    <x v="1"/>
    <x v="3"/>
    <x v="700"/>
  </r>
  <r>
    <n v="53"/>
    <x v="1"/>
    <x v="147"/>
    <x v="0"/>
    <x v="1"/>
    <x v="1"/>
    <x v="701"/>
  </r>
  <r>
    <n v="34"/>
    <x v="0"/>
    <x v="154"/>
    <x v="1"/>
    <x v="1"/>
    <x v="2"/>
    <x v="702"/>
  </r>
  <r>
    <n v="47"/>
    <x v="0"/>
    <x v="396"/>
    <x v="1"/>
    <x v="1"/>
    <x v="2"/>
    <x v="703"/>
  </r>
  <r>
    <n v="33"/>
    <x v="0"/>
    <x v="260"/>
    <x v="3"/>
    <x v="1"/>
    <x v="0"/>
    <x v="704"/>
  </r>
  <r>
    <n v="51"/>
    <x v="0"/>
    <x v="179"/>
    <x v="0"/>
    <x v="0"/>
    <x v="1"/>
    <x v="705"/>
  </r>
  <r>
    <n v="49"/>
    <x v="1"/>
    <x v="54"/>
    <x v="2"/>
    <x v="1"/>
    <x v="2"/>
    <x v="706"/>
  </r>
  <r>
    <n v="31"/>
    <x v="0"/>
    <x v="131"/>
    <x v="2"/>
    <x v="1"/>
    <x v="3"/>
    <x v="707"/>
  </r>
  <r>
    <n v="36"/>
    <x v="0"/>
    <x v="7"/>
    <x v="0"/>
    <x v="1"/>
    <x v="3"/>
    <x v="708"/>
  </r>
  <r>
    <n v="18"/>
    <x v="1"/>
    <x v="49"/>
    <x v="1"/>
    <x v="1"/>
    <x v="1"/>
    <x v="709"/>
  </r>
  <r>
    <n v="50"/>
    <x v="0"/>
    <x v="397"/>
    <x v="3"/>
    <x v="1"/>
    <x v="1"/>
    <x v="710"/>
  </r>
  <r>
    <n v="43"/>
    <x v="0"/>
    <x v="264"/>
    <x v="3"/>
    <x v="1"/>
    <x v="2"/>
    <x v="711"/>
  </r>
  <r>
    <n v="20"/>
    <x v="1"/>
    <x v="398"/>
    <x v="0"/>
    <x v="1"/>
    <x v="3"/>
    <x v="712"/>
  </r>
  <r>
    <n v="24"/>
    <x v="0"/>
    <x v="286"/>
    <x v="0"/>
    <x v="1"/>
    <x v="0"/>
    <x v="713"/>
  </r>
  <r>
    <n v="60"/>
    <x v="1"/>
    <x v="65"/>
    <x v="0"/>
    <x v="1"/>
    <x v="0"/>
    <x v="714"/>
  </r>
  <r>
    <n v="49"/>
    <x v="0"/>
    <x v="227"/>
    <x v="1"/>
    <x v="1"/>
    <x v="2"/>
    <x v="715"/>
  </r>
  <r>
    <n v="60"/>
    <x v="1"/>
    <x v="200"/>
    <x v="1"/>
    <x v="1"/>
    <x v="2"/>
    <x v="716"/>
  </r>
  <r>
    <n v="51"/>
    <x v="0"/>
    <x v="38"/>
    <x v="3"/>
    <x v="1"/>
    <x v="2"/>
    <x v="717"/>
  </r>
  <r>
    <n v="58"/>
    <x v="0"/>
    <x v="6"/>
    <x v="0"/>
    <x v="1"/>
    <x v="2"/>
    <x v="718"/>
  </r>
  <r>
    <n v="51"/>
    <x v="0"/>
    <x v="399"/>
    <x v="0"/>
    <x v="1"/>
    <x v="3"/>
    <x v="719"/>
  </r>
  <r>
    <n v="53"/>
    <x v="1"/>
    <x v="400"/>
    <x v="2"/>
    <x v="1"/>
    <x v="0"/>
    <x v="720"/>
  </r>
  <r>
    <n v="62"/>
    <x v="1"/>
    <x v="116"/>
    <x v="0"/>
    <x v="1"/>
    <x v="0"/>
    <x v="721"/>
  </r>
  <r>
    <n v="19"/>
    <x v="1"/>
    <x v="401"/>
    <x v="0"/>
    <x v="1"/>
    <x v="0"/>
    <x v="722"/>
  </r>
  <r>
    <n v="50"/>
    <x v="0"/>
    <x v="402"/>
    <x v="1"/>
    <x v="1"/>
    <x v="3"/>
    <x v="723"/>
  </r>
  <r>
    <n v="30"/>
    <x v="0"/>
    <x v="266"/>
    <x v="2"/>
    <x v="0"/>
    <x v="1"/>
    <x v="724"/>
  </r>
  <r>
    <n v="41"/>
    <x v="1"/>
    <x v="403"/>
    <x v="1"/>
    <x v="1"/>
    <x v="2"/>
    <x v="725"/>
  </r>
  <r>
    <n v="29"/>
    <x v="0"/>
    <x v="404"/>
    <x v="1"/>
    <x v="0"/>
    <x v="3"/>
    <x v="726"/>
  </r>
  <r>
    <n v="18"/>
    <x v="0"/>
    <x v="405"/>
    <x v="0"/>
    <x v="1"/>
    <x v="3"/>
    <x v="727"/>
  </r>
  <r>
    <n v="41"/>
    <x v="0"/>
    <x v="168"/>
    <x v="1"/>
    <x v="1"/>
    <x v="1"/>
    <x v="728"/>
  </r>
  <r>
    <n v="35"/>
    <x v="1"/>
    <x v="137"/>
    <x v="2"/>
    <x v="0"/>
    <x v="1"/>
    <x v="729"/>
  </r>
  <r>
    <n v="53"/>
    <x v="1"/>
    <x v="343"/>
    <x v="1"/>
    <x v="1"/>
    <x v="0"/>
    <x v="730"/>
  </r>
  <r>
    <n v="24"/>
    <x v="0"/>
    <x v="406"/>
    <x v="2"/>
    <x v="1"/>
    <x v="0"/>
    <x v="731"/>
  </r>
  <r>
    <n v="48"/>
    <x v="0"/>
    <x v="288"/>
    <x v="1"/>
    <x v="1"/>
    <x v="3"/>
    <x v="732"/>
  </r>
  <r>
    <n v="59"/>
    <x v="0"/>
    <x v="407"/>
    <x v="2"/>
    <x v="1"/>
    <x v="0"/>
    <x v="733"/>
  </r>
  <r>
    <n v="49"/>
    <x v="0"/>
    <x v="47"/>
    <x v="1"/>
    <x v="1"/>
    <x v="2"/>
    <x v="734"/>
  </r>
  <r>
    <n v="37"/>
    <x v="0"/>
    <x v="186"/>
    <x v="0"/>
    <x v="0"/>
    <x v="1"/>
    <x v="735"/>
  </r>
  <r>
    <n v="26"/>
    <x v="1"/>
    <x v="408"/>
    <x v="3"/>
    <x v="1"/>
    <x v="0"/>
    <x v="736"/>
  </r>
  <r>
    <n v="23"/>
    <x v="1"/>
    <x v="294"/>
    <x v="2"/>
    <x v="0"/>
    <x v="3"/>
    <x v="737"/>
  </r>
  <r>
    <n v="29"/>
    <x v="1"/>
    <x v="409"/>
    <x v="3"/>
    <x v="0"/>
    <x v="0"/>
    <x v="738"/>
  </r>
  <r>
    <n v="45"/>
    <x v="1"/>
    <x v="167"/>
    <x v="3"/>
    <x v="1"/>
    <x v="3"/>
    <x v="739"/>
  </r>
  <r>
    <n v="27"/>
    <x v="1"/>
    <x v="410"/>
    <x v="0"/>
    <x v="0"/>
    <x v="1"/>
    <x v="740"/>
  </r>
  <r>
    <n v="53"/>
    <x v="1"/>
    <x v="237"/>
    <x v="0"/>
    <x v="0"/>
    <x v="3"/>
    <x v="741"/>
  </r>
  <r>
    <n v="31"/>
    <x v="0"/>
    <x v="217"/>
    <x v="0"/>
    <x v="1"/>
    <x v="1"/>
    <x v="742"/>
  </r>
  <r>
    <n v="50"/>
    <x v="1"/>
    <x v="154"/>
    <x v="0"/>
    <x v="1"/>
    <x v="2"/>
    <x v="743"/>
  </r>
  <r>
    <n v="50"/>
    <x v="0"/>
    <x v="95"/>
    <x v="1"/>
    <x v="1"/>
    <x v="2"/>
    <x v="744"/>
  </r>
  <r>
    <n v="34"/>
    <x v="1"/>
    <x v="411"/>
    <x v="3"/>
    <x v="1"/>
    <x v="0"/>
    <x v="745"/>
  </r>
  <r>
    <n v="19"/>
    <x v="1"/>
    <x v="404"/>
    <x v="0"/>
    <x v="1"/>
    <x v="2"/>
    <x v="746"/>
  </r>
  <r>
    <n v="47"/>
    <x v="0"/>
    <x v="126"/>
    <x v="1"/>
    <x v="1"/>
    <x v="0"/>
    <x v="747"/>
  </r>
  <r>
    <n v="28"/>
    <x v="1"/>
    <x v="99"/>
    <x v="0"/>
    <x v="1"/>
    <x v="2"/>
    <x v="748"/>
  </r>
  <r>
    <n v="37"/>
    <x v="0"/>
    <x v="170"/>
    <x v="0"/>
    <x v="0"/>
    <x v="1"/>
    <x v="749"/>
  </r>
  <r>
    <n v="21"/>
    <x v="1"/>
    <x v="111"/>
    <x v="0"/>
    <x v="1"/>
    <x v="2"/>
    <x v="750"/>
  </r>
  <r>
    <n v="64"/>
    <x v="1"/>
    <x v="412"/>
    <x v="0"/>
    <x v="1"/>
    <x v="2"/>
    <x v="751"/>
  </r>
  <r>
    <n v="58"/>
    <x v="0"/>
    <x v="413"/>
    <x v="0"/>
    <x v="1"/>
    <x v="1"/>
    <x v="752"/>
  </r>
  <r>
    <n v="24"/>
    <x v="1"/>
    <x v="51"/>
    <x v="5"/>
    <x v="1"/>
    <x v="3"/>
    <x v="753"/>
  </r>
  <r>
    <n v="31"/>
    <x v="1"/>
    <x v="215"/>
    <x v="3"/>
    <x v="1"/>
    <x v="3"/>
    <x v="754"/>
  </r>
  <r>
    <n v="39"/>
    <x v="0"/>
    <x v="414"/>
    <x v="2"/>
    <x v="1"/>
    <x v="3"/>
    <x v="755"/>
  </r>
  <r>
    <n v="47"/>
    <x v="0"/>
    <x v="138"/>
    <x v="0"/>
    <x v="0"/>
    <x v="1"/>
    <x v="756"/>
  </r>
  <r>
    <n v="30"/>
    <x v="1"/>
    <x v="133"/>
    <x v="2"/>
    <x v="1"/>
    <x v="3"/>
    <x v="757"/>
  </r>
  <r>
    <n v="18"/>
    <x v="1"/>
    <x v="271"/>
    <x v="0"/>
    <x v="0"/>
    <x v="1"/>
    <x v="758"/>
  </r>
  <r>
    <n v="22"/>
    <x v="0"/>
    <x v="415"/>
    <x v="3"/>
    <x v="1"/>
    <x v="3"/>
    <x v="759"/>
  </r>
  <r>
    <n v="23"/>
    <x v="1"/>
    <x v="49"/>
    <x v="1"/>
    <x v="1"/>
    <x v="0"/>
    <x v="760"/>
  </r>
  <r>
    <n v="33"/>
    <x v="1"/>
    <x v="416"/>
    <x v="1"/>
    <x v="0"/>
    <x v="0"/>
    <x v="761"/>
  </r>
  <r>
    <n v="27"/>
    <x v="1"/>
    <x v="327"/>
    <x v="0"/>
    <x v="1"/>
    <x v="3"/>
    <x v="762"/>
  </r>
  <r>
    <n v="45"/>
    <x v="0"/>
    <x v="124"/>
    <x v="3"/>
    <x v="1"/>
    <x v="3"/>
    <x v="763"/>
  </r>
  <r>
    <n v="57"/>
    <x v="0"/>
    <x v="56"/>
    <x v="0"/>
    <x v="1"/>
    <x v="2"/>
    <x v="764"/>
  </r>
  <r>
    <n v="47"/>
    <x v="1"/>
    <x v="243"/>
    <x v="1"/>
    <x v="1"/>
    <x v="0"/>
    <x v="765"/>
  </r>
  <r>
    <n v="42"/>
    <x v="0"/>
    <x v="358"/>
    <x v="1"/>
    <x v="1"/>
    <x v="0"/>
    <x v="766"/>
  </r>
  <r>
    <n v="64"/>
    <x v="0"/>
    <x v="376"/>
    <x v="0"/>
    <x v="1"/>
    <x v="0"/>
    <x v="767"/>
  </r>
  <r>
    <n v="38"/>
    <x v="0"/>
    <x v="417"/>
    <x v="3"/>
    <x v="1"/>
    <x v="2"/>
    <x v="768"/>
  </r>
  <r>
    <n v="61"/>
    <x v="1"/>
    <x v="374"/>
    <x v="2"/>
    <x v="1"/>
    <x v="0"/>
    <x v="769"/>
  </r>
  <r>
    <n v="53"/>
    <x v="0"/>
    <x v="418"/>
    <x v="3"/>
    <x v="1"/>
    <x v="0"/>
    <x v="770"/>
  </r>
  <r>
    <n v="44"/>
    <x v="0"/>
    <x v="238"/>
    <x v="0"/>
    <x v="1"/>
    <x v="3"/>
    <x v="771"/>
  </r>
  <r>
    <n v="19"/>
    <x v="0"/>
    <x v="4"/>
    <x v="0"/>
    <x v="0"/>
    <x v="2"/>
    <x v="772"/>
  </r>
  <r>
    <n v="41"/>
    <x v="1"/>
    <x v="206"/>
    <x v="3"/>
    <x v="1"/>
    <x v="2"/>
    <x v="773"/>
  </r>
  <r>
    <n v="51"/>
    <x v="1"/>
    <x v="230"/>
    <x v="2"/>
    <x v="1"/>
    <x v="1"/>
    <x v="774"/>
  </r>
  <r>
    <n v="40"/>
    <x v="1"/>
    <x v="243"/>
    <x v="3"/>
    <x v="1"/>
    <x v="2"/>
    <x v="775"/>
  </r>
  <r>
    <n v="45"/>
    <x v="1"/>
    <x v="77"/>
    <x v="0"/>
    <x v="1"/>
    <x v="3"/>
    <x v="776"/>
  </r>
  <r>
    <n v="35"/>
    <x v="1"/>
    <x v="419"/>
    <x v="2"/>
    <x v="1"/>
    <x v="1"/>
    <x v="777"/>
  </r>
  <r>
    <n v="53"/>
    <x v="1"/>
    <x v="4"/>
    <x v="0"/>
    <x v="1"/>
    <x v="2"/>
    <x v="778"/>
  </r>
  <r>
    <n v="30"/>
    <x v="1"/>
    <x v="420"/>
    <x v="2"/>
    <x v="0"/>
    <x v="0"/>
    <x v="779"/>
  </r>
  <r>
    <n v="18"/>
    <x v="1"/>
    <x v="421"/>
    <x v="0"/>
    <x v="1"/>
    <x v="1"/>
    <x v="780"/>
  </r>
  <r>
    <n v="51"/>
    <x v="1"/>
    <x v="233"/>
    <x v="1"/>
    <x v="1"/>
    <x v="1"/>
    <x v="781"/>
  </r>
  <r>
    <n v="50"/>
    <x v="0"/>
    <x v="244"/>
    <x v="1"/>
    <x v="0"/>
    <x v="0"/>
    <x v="782"/>
  </r>
  <r>
    <n v="31"/>
    <x v="0"/>
    <x v="245"/>
    <x v="1"/>
    <x v="1"/>
    <x v="1"/>
    <x v="783"/>
  </r>
  <r>
    <n v="35"/>
    <x v="0"/>
    <x v="224"/>
    <x v="2"/>
    <x v="1"/>
    <x v="0"/>
    <x v="784"/>
  </r>
  <r>
    <n v="60"/>
    <x v="1"/>
    <x v="55"/>
    <x v="0"/>
    <x v="1"/>
    <x v="3"/>
    <x v="785"/>
  </r>
  <r>
    <n v="21"/>
    <x v="1"/>
    <x v="350"/>
    <x v="0"/>
    <x v="1"/>
    <x v="2"/>
    <x v="786"/>
  </r>
  <r>
    <n v="29"/>
    <x v="1"/>
    <x v="422"/>
    <x v="2"/>
    <x v="1"/>
    <x v="3"/>
    <x v="787"/>
  </r>
  <r>
    <n v="62"/>
    <x v="0"/>
    <x v="96"/>
    <x v="0"/>
    <x v="1"/>
    <x v="1"/>
    <x v="788"/>
  </r>
  <r>
    <n v="39"/>
    <x v="0"/>
    <x v="423"/>
    <x v="0"/>
    <x v="1"/>
    <x v="1"/>
    <x v="789"/>
  </r>
  <r>
    <n v="19"/>
    <x v="1"/>
    <x v="244"/>
    <x v="0"/>
    <x v="1"/>
    <x v="0"/>
    <x v="790"/>
  </r>
  <r>
    <n v="22"/>
    <x v="0"/>
    <x v="247"/>
    <x v="0"/>
    <x v="1"/>
    <x v="3"/>
    <x v="791"/>
  </r>
  <r>
    <n v="53"/>
    <x v="1"/>
    <x v="192"/>
    <x v="0"/>
    <x v="0"/>
    <x v="1"/>
    <x v="792"/>
  </r>
  <r>
    <n v="39"/>
    <x v="0"/>
    <x v="23"/>
    <x v="3"/>
    <x v="1"/>
    <x v="2"/>
    <x v="793"/>
  </r>
  <r>
    <n v="27"/>
    <x v="1"/>
    <x v="70"/>
    <x v="0"/>
    <x v="0"/>
    <x v="2"/>
    <x v="794"/>
  </r>
  <r>
    <n v="30"/>
    <x v="1"/>
    <x v="333"/>
    <x v="3"/>
    <x v="1"/>
    <x v="1"/>
    <x v="795"/>
  </r>
  <r>
    <n v="30"/>
    <x v="0"/>
    <x v="83"/>
    <x v="1"/>
    <x v="1"/>
    <x v="3"/>
    <x v="796"/>
  </r>
  <r>
    <n v="58"/>
    <x v="0"/>
    <x v="291"/>
    <x v="0"/>
    <x v="1"/>
    <x v="0"/>
    <x v="797"/>
  </r>
  <r>
    <n v="33"/>
    <x v="1"/>
    <x v="88"/>
    <x v="0"/>
    <x v="0"/>
    <x v="3"/>
    <x v="798"/>
  </r>
  <r>
    <n v="42"/>
    <x v="0"/>
    <x v="424"/>
    <x v="1"/>
    <x v="1"/>
    <x v="1"/>
    <x v="799"/>
  </r>
  <r>
    <n v="64"/>
    <x v="0"/>
    <x v="233"/>
    <x v="0"/>
    <x v="1"/>
    <x v="1"/>
    <x v="800"/>
  </r>
  <r>
    <n v="21"/>
    <x v="1"/>
    <x v="169"/>
    <x v="1"/>
    <x v="1"/>
    <x v="0"/>
    <x v="801"/>
  </r>
  <r>
    <n v="18"/>
    <x v="0"/>
    <x v="425"/>
    <x v="0"/>
    <x v="0"/>
    <x v="1"/>
    <x v="802"/>
  </r>
  <r>
    <n v="23"/>
    <x v="1"/>
    <x v="426"/>
    <x v="0"/>
    <x v="1"/>
    <x v="1"/>
    <x v="803"/>
  </r>
  <r>
    <n v="45"/>
    <x v="0"/>
    <x v="427"/>
    <x v="0"/>
    <x v="1"/>
    <x v="2"/>
    <x v="804"/>
  </r>
  <r>
    <n v="40"/>
    <x v="0"/>
    <x v="428"/>
    <x v="1"/>
    <x v="1"/>
    <x v="2"/>
    <x v="805"/>
  </r>
  <r>
    <n v="19"/>
    <x v="0"/>
    <x v="429"/>
    <x v="0"/>
    <x v="1"/>
    <x v="2"/>
    <x v="806"/>
  </r>
  <r>
    <n v="18"/>
    <x v="1"/>
    <x v="307"/>
    <x v="0"/>
    <x v="1"/>
    <x v="1"/>
    <x v="807"/>
  </r>
  <r>
    <n v="25"/>
    <x v="1"/>
    <x v="9"/>
    <x v="1"/>
    <x v="1"/>
    <x v="3"/>
    <x v="808"/>
  </r>
  <r>
    <n v="46"/>
    <x v="0"/>
    <x v="43"/>
    <x v="2"/>
    <x v="1"/>
    <x v="0"/>
    <x v="809"/>
  </r>
  <r>
    <n v="33"/>
    <x v="0"/>
    <x v="430"/>
    <x v="2"/>
    <x v="1"/>
    <x v="2"/>
    <x v="810"/>
  </r>
  <r>
    <n v="54"/>
    <x v="1"/>
    <x v="431"/>
    <x v="3"/>
    <x v="1"/>
    <x v="1"/>
    <x v="811"/>
  </r>
  <r>
    <n v="28"/>
    <x v="1"/>
    <x v="422"/>
    <x v="3"/>
    <x v="1"/>
    <x v="3"/>
    <x v="812"/>
  </r>
  <r>
    <n v="36"/>
    <x v="1"/>
    <x v="53"/>
    <x v="3"/>
    <x v="1"/>
    <x v="1"/>
    <x v="813"/>
  </r>
  <r>
    <n v="20"/>
    <x v="0"/>
    <x v="262"/>
    <x v="0"/>
    <x v="1"/>
    <x v="1"/>
    <x v="814"/>
  </r>
  <r>
    <n v="24"/>
    <x v="0"/>
    <x v="432"/>
    <x v="0"/>
    <x v="1"/>
    <x v="2"/>
    <x v="815"/>
  </r>
  <r>
    <n v="23"/>
    <x v="1"/>
    <x v="109"/>
    <x v="2"/>
    <x v="1"/>
    <x v="0"/>
    <x v="816"/>
  </r>
  <r>
    <n v="47"/>
    <x v="0"/>
    <x v="388"/>
    <x v="1"/>
    <x v="0"/>
    <x v="3"/>
    <x v="817"/>
  </r>
  <r>
    <n v="33"/>
    <x v="0"/>
    <x v="76"/>
    <x v="0"/>
    <x v="0"/>
    <x v="2"/>
    <x v="818"/>
  </r>
  <r>
    <n v="45"/>
    <x v="1"/>
    <x v="175"/>
    <x v="1"/>
    <x v="1"/>
    <x v="0"/>
    <x v="819"/>
  </r>
  <r>
    <n v="26"/>
    <x v="1"/>
    <x v="433"/>
    <x v="0"/>
    <x v="1"/>
    <x v="2"/>
    <x v="820"/>
  </r>
  <r>
    <n v="18"/>
    <x v="0"/>
    <x v="360"/>
    <x v="0"/>
    <x v="1"/>
    <x v="1"/>
    <x v="821"/>
  </r>
  <r>
    <n v="44"/>
    <x v="0"/>
    <x v="382"/>
    <x v="3"/>
    <x v="1"/>
    <x v="1"/>
    <x v="822"/>
  </r>
  <r>
    <n v="60"/>
    <x v="1"/>
    <x v="200"/>
    <x v="0"/>
    <x v="1"/>
    <x v="2"/>
    <x v="823"/>
  </r>
  <r>
    <n v="64"/>
    <x v="0"/>
    <x v="56"/>
    <x v="3"/>
    <x v="1"/>
    <x v="3"/>
    <x v="824"/>
  </r>
  <r>
    <n v="56"/>
    <x v="1"/>
    <x v="211"/>
    <x v="3"/>
    <x v="0"/>
    <x v="1"/>
    <x v="825"/>
  </r>
  <r>
    <n v="36"/>
    <x v="1"/>
    <x v="24"/>
    <x v="1"/>
    <x v="0"/>
    <x v="3"/>
    <x v="826"/>
  </r>
  <r>
    <n v="41"/>
    <x v="1"/>
    <x v="16"/>
    <x v="2"/>
    <x v="0"/>
    <x v="3"/>
    <x v="827"/>
  </r>
  <r>
    <n v="39"/>
    <x v="1"/>
    <x v="361"/>
    <x v="1"/>
    <x v="1"/>
    <x v="2"/>
    <x v="828"/>
  </r>
  <r>
    <n v="63"/>
    <x v="1"/>
    <x v="291"/>
    <x v="0"/>
    <x v="1"/>
    <x v="0"/>
    <x v="829"/>
  </r>
  <r>
    <n v="36"/>
    <x v="0"/>
    <x v="9"/>
    <x v="0"/>
    <x v="1"/>
    <x v="2"/>
    <x v="830"/>
  </r>
  <r>
    <n v="28"/>
    <x v="0"/>
    <x v="17"/>
    <x v="3"/>
    <x v="1"/>
    <x v="2"/>
    <x v="831"/>
  </r>
  <r>
    <n v="58"/>
    <x v="1"/>
    <x v="226"/>
    <x v="0"/>
    <x v="1"/>
    <x v="2"/>
    <x v="832"/>
  </r>
  <r>
    <n v="36"/>
    <x v="1"/>
    <x v="312"/>
    <x v="1"/>
    <x v="1"/>
    <x v="2"/>
    <x v="833"/>
  </r>
  <r>
    <n v="42"/>
    <x v="1"/>
    <x v="233"/>
    <x v="3"/>
    <x v="1"/>
    <x v="1"/>
    <x v="834"/>
  </r>
  <r>
    <n v="36"/>
    <x v="1"/>
    <x v="434"/>
    <x v="0"/>
    <x v="1"/>
    <x v="0"/>
    <x v="835"/>
  </r>
  <r>
    <n v="56"/>
    <x v="0"/>
    <x v="33"/>
    <x v="0"/>
    <x v="1"/>
    <x v="3"/>
    <x v="836"/>
  </r>
  <r>
    <n v="35"/>
    <x v="0"/>
    <x v="352"/>
    <x v="3"/>
    <x v="1"/>
    <x v="3"/>
    <x v="837"/>
  </r>
  <r>
    <n v="59"/>
    <x v="0"/>
    <x v="112"/>
    <x v="0"/>
    <x v="1"/>
    <x v="2"/>
    <x v="838"/>
  </r>
  <r>
    <n v="21"/>
    <x v="1"/>
    <x v="435"/>
    <x v="0"/>
    <x v="1"/>
    <x v="0"/>
    <x v="839"/>
  </r>
  <r>
    <n v="59"/>
    <x v="1"/>
    <x v="62"/>
    <x v="0"/>
    <x v="1"/>
    <x v="3"/>
    <x v="840"/>
  </r>
  <r>
    <n v="23"/>
    <x v="0"/>
    <x v="436"/>
    <x v="3"/>
    <x v="0"/>
    <x v="1"/>
    <x v="841"/>
  </r>
  <r>
    <n v="57"/>
    <x v="0"/>
    <x v="382"/>
    <x v="0"/>
    <x v="0"/>
    <x v="1"/>
    <x v="842"/>
  </r>
  <r>
    <n v="53"/>
    <x v="1"/>
    <x v="131"/>
    <x v="0"/>
    <x v="1"/>
    <x v="3"/>
    <x v="843"/>
  </r>
  <r>
    <n v="60"/>
    <x v="0"/>
    <x v="437"/>
    <x v="0"/>
    <x v="0"/>
    <x v="1"/>
    <x v="844"/>
  </r>
  <r>
    <n v="51"/>
    <x v="0"/>
    <x v="206"/>
    <x v="1"/>
    <x v="1"/>
    <x v="0"/>
    <x v="845"/>
  </r>
  <r>
    <n v="23"/>
    <x v="1"/>
    <x v="438"/>
    <x v="1"/>
    <x v="1"/>
    <x v="1"/>
    <x v="846"/>
  </r>
  <r>
    <n v="27"/>
    <x v="0"/>
    <x v="390"/>
    <x v="0"/>
    <x v="1"/>
    <x v="0"/>
    <x v="847"/>
  </r>
  <r>
    <n v="55"/>
    <x v="1"/>
    <x v="27"/>
    <x v="0"/>
    <x v="1"/>
    <x v="2"/>
    <x v="848"/>
  </r>
  <r>
    <n v="37"/>
    <x v="0"/>
    <x v="16"/>
    <x v="0"/>
    <x v="0"/>
    <x v="3"/>
    <x v="849"/>
  </r>
  <r>
    <n v="61"/>
    <x v="1"/>
    <x v="243"/>
    <x v="3"/>
    <x v="1"/>
    <x v="2"/>
    <x v="850"/>
  </r>
  <r>
    <n v="46"/>
    <x v="0"/>
    <x v="76"/>
    <x v="0"/>
    <x v="0"/>
    <x v="3"/>
    <x v="851"/>
  </r>
  <r>
    <n v="53"/>
    <x v="0"/>
    <x v="110"/>
    <x v="3"/>
    <x v="1"/>
    <x v="3"/>
    <x v="852"/>
  </r>
  <r>
    <n v="49"/>
    <x v="0"/>
    <x v="17"/>
    <x v="2"/>
    <x v="0"/>
    <x v="3"/>
    <x v="853"/>
  </r>
  <r>
    <n v="20"/>
    <x v="0"/>
    <x v="303"/>
    <x v="0"/>
    <x v="1"/>
    <x v="0"/>
    <x v="854"/>
  </r>
  <r>
    <n v="48"/>
    <x v="0"/>
    <x v="293"/>
    <x v="0"/>
    <x v="0"/>
    <x v="1"/>
    <x v="855"/>
  </r>
  <r>
    <n v="25"/>
    <x v="1"/>
    <x v="134"/>
    <x v="0"/>
    <x v="0"/>
    <x v="2"/>
    <x v="856"/>
  </r>
  <r>
    <n v="25"/>
    <x v="0"/>
    <x v="166"/>
    <x v="1"/>
    <x v="1"/>
    <x v="1"/>
    <x v="857"/>
  </r>
  <r>
    <n v="57"/>
    <x v="1"/>
    <x v="71"/>
    <x v="0"/>
    <x v="1"/>
    <x v="0"/>
    <x v="858"/>
  </r>
  <r>
    <n v="37"/>
    <x v="0"/>
    <x v="439"/>
    <x v="3"/>
    <x v="0"/>
    <x v="0"/>
    <x v="859"/>
  </r>
  <r>
    <n v="38"/>
    <x v="0"/>
    <x v="52"/>
    <x v="2"/>
    <x v="1"/>
    <x v="0"/>
    <x v="860"/>
  </r>
  <r>
    <n v="55"/>
    <x v="0"/>
    <x v="371"/>
    <x v="3"/>
    <x v="1"/>
    <x v="2"/>
    <x v="861"/>
  </r>
  <r>
    <n v="36"/>
    <x v="0"/>
    <x v="269"/>
    <x v="0"/>
    <x v="1"/>
    <x v="3"/>
    <x v="862"/>
  </r>
  <r>
    <n v="51"/>
    <x v="1"/>
    <x v="440"/>
    <x v="0"/>
    <x v="1"/>
    <x v="0"/>
    <x v="863"/>
  </r>
  <r>
    <n v="40"/>
    <x v="1"/>
    <x v="441"/>
    <x v="3"/>
    <x v="1"/>
    <x v="0"/>
    <x v="864"/>
  </r>
  <r>
    <n v="18"/>
    <x v="1"/>
    <x v="348"/>
    <x v="0"/>
    <x v="1"/>
    <x v="1"/>
    <x v="865"/>
  </r>
  <r>
    <n v="57"/>
    <x v="1"/>
    <x v="442"/>
    <x v="1"/>
    <x v="1"/>
    <x v="0"/>
    <x v="866"/>
  </r>
  <r>
    <n v="61"/>
    <x v="1"/>
    <x v="367"/>
    <x v="0"/>
    <x v="1"/>
    <x v="3"/>
    <x v="867"/>
  </r>
  <r>
    <n v="25"/>
    <x v="0"/>
    <x v="210"/>
    <x v="2"/>
    <x v="1"/>
    <x v="0"/>
    <x v="868"/>
  </r>
  <r>
    <n v="50"/>
    <x v="1"/>
    <x v="391"/>
    <x v="0"/>
    <x v="1"/>
    <x v="0"/>
    <x v="869"/>
  </r>
  <r>
    <n v="26"/>
    <x v="0"/>
    <x v="364"/>
    <x v="1"/>
    <x v="1"/>
    <x v="1"/>
    <x v="870"/>
  </r>
  <r>
    <n v="42"/>
    <x v="1"/>
    <x v="443"/>
    <x v="0"/>
    <x v="1"/>
    <x v="1"/>
    <x v="871"/>
  </r>
  <r>
    <n v="43"/>
    <x v="1"/>
    <x v="406"/>
    <x v="1"/>
    <x v="1"/>
    <x v="0"/>
    <x v="872"/>
  </r>
  <r>
    <n v="44"/>
    <x v="1"/>
    <x v="361"/>
    <x v="2"/>
    <x v="1"/>
    <x v="3"/>
    <x v="873"/>
  </r>
  <r>
    <n v="23"/>
    <x v="0"/>
    <x v="213"/>
    <x v="0"/>
    <x v="1"/>
    <x v="2"/>
    <x v="874"/>
  </r>
  <r>
    <n v="49"/>
    <x v="0"/>
    <x v="416"/>
    <x v="1"/>
    <x v="1"/>
    <x v="0"/>
    <x v="875"/>
  </r>
  <r>
    <n v="33"/>
    <x v="1"/>
    <x v="6"/>
    <x v="4"/>
    <x v="1"/>
    <x v="1"/>
    <x v="876"/>
  </r>
  <r>
    <n v="41"/>
    <x v="1"/>
    <x v="444"/>
    <x v="1"/>
    <x v="1"/>
    <x v="0"/>
    <x v="877"/>
  </r>
  <r>
    <n v="37"/>
    <x v="0"/>
    <x v="445"/>
    <x v="3"/>
    <x v="1"/>
    <x v="0"/>
    <x v="878"/>
  </r>
  <r>
    <n v="22"/>
    <x v="1"/>
    <x v="82"/>
    <x v="2"/>
    <x v="1"/>
    <x v="0"/>
    <x v="879"/>
  </r>
  <r>
    <n v="23"/>
    <x v="1"/>
    <x v="60"/>
    <x v="1"/>
    <x v="1"/>
    <x v="2"/>
    <x v="880"/>
  </r>
  <r>
    <n v="21"/>
    <x v="0"/>
    <x v="188"/>
    <x v="0"/>
    <x v="1"/>
    <x v="3"/>
    <x v="881"/>
  </r>
  <r>
    <n v="51"/>
    <x v="0"/>
    <x v="44"/>
    <x v="2"/>
    <x v="0"/>
    <x v="3"/>
    <x v="882"/>
  </r>
  <r>
    <n v="25"/>
    <x v="1"/>
    <x v="301"/>
    <x v="5"/>
    <x v="1"/>
    <x v="2"/>
    <x v="883"/>
  </r>
  <r>
    <n v="32"/>
    <x v="1"/>
    <x v="329"/>
    <x v="1"/>
    <x v="0"/>
    <x v="1"/>
    <x v="884"/>
  </r>
  <r>
    <n v="57"/>
    <x v="1"/>
    <x v="111"/>
    <x v="0"/>
    <x v="0"/>
    <x v="3"/>
    <x v="885"/>
  </r>
  <r>
    <n v="36"/>
    <x v="0"/>
    <x v="190"/>
    <x v="0"/>
    <x v="1"/>
    <x v="2"/>
    <x v="886"/>
  </r>
  <r>
    <n v="22"/>
    <x v="1"/>
    <x v="318"/>
    <x v="0"/>
    <x v="1"/>
    <x v="0"/>
    <x v="887"/>
  </r>
  <r>
    <n v="57"/>
    <x v="1"/>
    <x v="51"/>
    <x v="1"/>
    <x v="1"/>
    <x v="2"/>
    <x v="888"/>
  </r>
  <r>
    <n v="64"/>
    <x v="0"/>
    <x v="78"/>
    <x v="0"/>
    <x v="0"/>
    <x v="2"/>
    <x v="889"/>
  </r>
  <r>
    <n v="36"/>
    <x v="0"/>
    <x v="446"/>
    <x v="5"/>
    <x v="1"/>
    <x v="1"/>
    <x v="890"/>
  </r>
  <r>
    <n v="54"/>
    <x v="1"/>
    <x v="167"/>
    <x v="0"/>
    <x v="1"/>
    <x v="3"/>
    <x v="891"/>
  </r>
  <r>
    <n v="47"/>
    <x v="1"/>
    <x v="447"/>
    <x v="3"/>
    <x v="0"/>
    <x v="1"/>
    <x v="892"/>
  </r>
  <r>
    <n v="62"/>
    <x v="1"/>
    <x v="159"/>
    <x v="0"/>
    <x v="1"/>
    <x v="3"/>
    <x v="893"/>
  </r>
  <r>
    <n v="61"/>
    <x v="0"/>
    <x v="448"/>
    <x v="0"/>
    <x v="1"/>
    <x v="0"/>
    <x v="894"/>
  </r>
  <r>
    <n v="43"/>
    <x v="0"/>
    <x v="449"/>
    <x v="3"/>
    <x v="0"/>
    <x v="3"/>
    <x v="895"/>
  </r>
  <r>
    <n v="19"/>
    <x v="1"/>
    <x v="122"/>
    <x v="1"/>
    <x v="1"/>
    <x v="2"/>
    <x v="896"/>
  </r>
  <r>
    <n v="18"/>
    <x v="0"/>
    <x v="362"/>
    <x v="0"/>
    <x v="1"/>
    <x v="1"/>
    <x v="897"/>
  </r>
  <r>
    <n v="19"/>
    <x v="0"/>
    <x v="422"/>
    <x v="0"/>
    <x v="1"/>
    <x v="2"/>
    <x v="898"/>
  </r>
  <r>
    <n v="49"/>
    <x v="1"/>
    <x v="422"/>
    <x v="0"/>
    <x v="1"/>
    <x v="3"/>
    <x v="899"/>
  </r>
  <r>
    <n v="60"/>
    <x v="1"/>
    <x v="450"/>
    <x v="0"/>
    <x v="0"/>
    <x v="1"/>
    <x v="900"/>
  </r>
  <r>
    <n v="26"/>
    <x v="1"/>
    <x v="288"/>
    <x v="2"/>
    <x v="1"/>
    <x v="3"/>
    <x v="901"/>
  </r>
  <r>
    <n v="49"/>
    <x v="1"/>
    <x v="139"/>
    <x v="0"/>
    <x v="1"/>
    <x v="1"/>
    <x v="902"/>
  </r>
  <r>
    <n v="60"/>
    <x v="0"/>
    <x v="451"/>
    <x v="0"/>
    <x v="1"/>
    <x v="0"/>
    <x v="903"/>
  </r>
  <r>
    <n v="26"/>
    <x v="0"/>
    <x v="452"/>
    <x v="3"/>
    <x v="1"/>
    <x v="3"/>
    <x v="904"/>
  </r>
  <r>
    <n v="27"/>
    <x v="1"/>
    <x v="453"/>
    <x v="2"/>
    <x v="1"/>
    <x v="3"/>
    <x v="905"/>
  </r>
  <r>
    <n v="44"/>
    <x v="0"/>
    <x v="454"/>
    <x v="1"/>
    <x v="1"/>
    <x v="1"/>
    <x v="906"/>
  </r>
  <r>
    <n v="63"/>
    <x v="1"/>
    <x v="455"/>
    <x v="2"/>
    <x v="1"/>
    <x v="0"/>
    <x v="907"/>
  </r>
  <r>
    <n v="32"/>
    <x v="0"/>
    <x v="15"/>
    <x v="0"/>
    <x v="0"/>
    <x v="0"/>
    <x v="908"/>
  </r>
  <r>
    <n v="22"/>
    <x v="1"/>
    <x v="33"/>
    <x v="1"/>
    <x v="1"/>
    <x v="2"/>
    <x v="909"/>
  </r>
  <r>
    <n v="18"/>
    <x v="1"/>
    <x v="294"/>
    <x v="0"/>
    <x v="0"/>
    <x v="3"/>
    <x v="910"/>
  </r>
  <r>
    <n v="59"/>
    <x v="0"/>
    <x v="301"/>
    <x v="2"/>
    <x v="1"/>
    <x v="2"/>
    <x v="911"/>
  </r>
  <r>
    <n v="44"/>
    <x v="0"/>
    <x v="97"/>
    <x v="1"/>
    <x v="1"/>
    <x v="0"/>
    <x v="912"/>
  </r>
  <r>
    <n v="33"/>
    <x v="1"/>
    <x v="456"/>
    <x v="3"/>
    <x v="1"/>
    <x v="2"/>
    <x v="913"/>
  </r>
  <r>
    <n v="24"/>
    <x v="0"/>
    <x v="457"/>
    <x v="0"/>
    <x v="1"/>
    <x v="1"/>
    <x v="914"/>
  </r>
  <r>
    <n v="43"/>
    <x v="0"/>
    <x v="78"/>
    <x v="0"/>
    <x v="0"/>
    <x v="2"/>
    <x v="915"/>
  </r>
  <r>
    <n v="45"/>
    <x v="1"/>
    <x v="83"/>
    <x v="0"/>
    <x v="0"/>
    <x v="3"/>
    <x v="916"/>
  </r>
  <r>
    <n v="61"/>
    <x v="0"/>
    <x v="458"/>
    <x v="0"/>
    <x v="1"/>
    <x v="0"/>
    <x v="917"/>
  </r>
  <r>
    <n v="35"/>
    <x v="0"/>
    <x v="194"/>
    <x v="1"/>
    <x v="1"/>
    <x v="1"/>
    <x v="918"/>
  </r>
  <r>
    <n v="62"/>
    <x v="0"/>
    <x v="459"/>
    <x v="0"/>
    <x v="1"/>
    <x v="0"/>
    <x v="919"/>
  </r>
  <r>
    <n v="62"/>
    <x v="0"/>
    <x v="460"/>
    <x v="0"/>
    <x v="1"/>
    <x v="0"/>
    <x v="920"/>
  </r>
  <r>
    <n v="38"/>
    <x v="1"/>
    <x v="332"/>
    <x v="1"/>
    <x v="1"/>
    <x v="0"/>
    <x v="921"/>
  </r>
  <r>
    <n v="34"/>
    <x v="1"/>
    <x v="427"/>
    <x v="0"/>
    <x v="1"/>
    <x v="2"/>
    <x v="922"/>
  </r>
  <r>
    <n v="43"/>
    <x v="1"/>
    <x v="461"/>
    <x v="0"/>
    <x v="1"/>
    <x v="0"/>
    <x v="923"/>
  </r>
  <r>
    <n v="50"/>
    <x v="1"/>
    <x v="159"/>
    <x v="3"/>
    <x v="1"/>
    <x v="3"/>
    <x v="924"/>
  </r>
  <r>
    <n v="19"/>
    <x v="0"/>
    <x v="305"/>
    <x v="3"/>
    <x v="1"/>
    <x v="0"/>
    <x v="925"/>
  </r>
  <r>
    <n v="57"/>
    <x v="0"/>
    <x v="462"/>
    <x v="1"/>
    <x v="1"/>
    <x v="0"/>
    <x v="926"/>
  </r>
  <r>
    <n v="62"/>
    <x v="0"/>
    <x v="287"/>
    <x v="0"/>
    <x v="1"/>
    <x v="1"/>
    <x v="927"/>
  </r>
  <r>
    <n v="41"/>
    <x v="1"/>
    <x v="194"/>
    <x v="1"/>
    <x v="1"/>
    <x v="1"/>
    <x v="928"/>
  </r>
  <r>
    <n v="26"/>
    <x v="1"/>
    <x v="306"/>
    <x v="1"/>
    <x v="1"/>
    <x v="1"/>
    <x v="929"/>
  </r>
  <r>
    <n v="39"/>
    <x v="0"/>
    <x v="463"/>
    <x v="1"/>
    <x v="1"/>
    <x v="0"/>
    <x v="930"/>
  </r>
  <r>
    <n v="46"/>
    <x v="1"/>
    <x v="335"/>
    <x v="4"/>
    <x v="1"/>
    <x v="0"/>
    <x v="931"/>
  </r>
  <r>
    <n v="45"/>
    <x v="0"/>
    <x v="19"/>
    <x v="0"/>
    <x v="1"/>
    <x v="0"/>
    <x v="932"/>
  </r>
  <r>
    <n v="32"/>
    <x v="1"/>
    <x v="464"/>
    <x v="3"/>
    <x v="1"/>
    <x v="1"/>
    <x v="933"/>
  </r>
  <r>
    <n v="59"/>
    <x v="0"/>
    <x v="97"/>
    <x v="0"/>
    <x v="1"/>
    <x v="0"/>
    <x v="934"/>
  </r>
  <r>
    <n v="44"/>
    <x v="1"/>
    <x v="129"/>
    <x v="3"/>
    <x v="1"/>
    <x v="3"/>
    <x v="935"/>
  </r>
  <r>
    <n v="39"/>
    <x v="0"/>
    <x v="432"/>
    <x v="4"/>
    <x v="1"/>
    <x v="2"/>
    <x v="936"/>
  </r>
  <r>
    <n v="18"/>
    <x v="1"/>
    <x v="424"/>
    <x v="3"/>
    <x v="1"/>
    <x v="1"/>
    <x v="937"/>
  </r>
  <r>
    <n v="53"/>
    <x v="1"/>
    <x v="364"/>
    <x v="0"/>
    <x v="1"/>
    <x v="1"/>
    <x v="938"/>
  </r>
  <r>
    <n v="18"/>
    <x v="1"/>
    <x v="174"/>
    <x v="0"/>
    <x v="1"/>
    <x v="1"/>
    <x v="939"/>
  </r>
  <r>
    <n v="50"/>
    <x v="0"/>
    <x v="465"/>
    <x v="1"/>
    <x v="1"/>
    <x v="1"/>
    <x v="940"/>
  </r>
  <r>
    <n v="18"/>
    <x v="0"/>
    <x v="392"/>
    <x v="0"/>
    <x v="1"/>
    <x v="3"/>
    <x v="941"/>
  </r>
  <r>
    <n v="19"/>
    <x v="1"/>
    <x v="227"/>
    <x v="0"/>
    <x v="1"/>
    <x v="2"/>
    <x v="942"/>
  </r>
  <r>
    <n v="62"/>
    <x v="1"/>
    <x v="466"/>
    <x v="0"/>
    <x v="1"/>
    <x v="1"/>
    <x v="943"/>
  </r>
  <r>
    <n v="56"/>
    <x v="0"/>
    <x v="467"/>
    <x v="1"/>
    <x v="1"/>
    <x v="0"/>
    <x v="944"/>
  </r>
  <r>
    <n v="42"/>
    <x v="1"/>
    <x v="467"/>
    <x v="3"/>
    <x v="1"/>
    <x v="0"/>
    <x v="945"/>
  </r>
  <r>
    <n v="37"/>
    <x v="1"/>
    <x v="206"/>
    <x v="1"/>
    <x v="0"/>
    <x v="3"/>
    <x v="946"/>
  </r>
  <r>
    <n v="42"/>
    <x v="1"/>
    <x v="468"/>
    <x v="0"/>
    <x v="1"/>
    <x v="2"/>
    <x v="947"/>
  </r>
  <r>
    <n v="25"/>
    <x v="1"/>
    <x v="102"/>
    <x v="2"/>
    <x v="0"/>
    <x v="0"/>
    <x v="948"/>
  </r>
  <r>
    <n v="57"/>
    <x v="1"/>
    <x v="469"/>
    <x v="0"/>
    <x v="1"/>
    <x v="3"/>
    <x v="949"/>
  </r>
  <r>
    <n v="51"/>
    <x v="1"/>
    <x v="470"/>
    <x v="3"/>
    <x v="0"/>
    <x v="1"/>
    <x v="950"/>
  </r>
  <r>
    <n v="30"/>
    <x v="0"/>
    <x v="403"/>
    <x v="1"/>
    <x v="1"/>
    <x v="2"/>
    <x v="951"/>
  </r>
  <r>
    <n v="44"/>
    <x v="1"/>
    <x v="204"/>
    <x v="3"/>
    <x v="0"/>
    <x v="0"/>
    <x v="952"/>
  </r>
  <r>
    <n v="34"/>
    <x v="1"/>
    <x v="152"/>
    <x v="1"/>
    <x v="0"/>
    <x v="2"/>
    <x v="953"/>
  </r>
  <r>
    <n v="31"/>
    <x v="1"/>
    <x v="87"/>
    <x v="1"/>
    <x v="1"/>
    <x v="1"/>
    <x v="954"/>
  </r>
  <r>
    <n v="54"/>
    <x v="1"/>
    <x v="43"/>
    <x v="1"/>
    <x v="0"/>
    <x v="1"/>
    <x v="955"/>
  </r>
  <r>
    <n v="24"/>
    <x v="1"/>
    <x v="471"/>
    <x v="1"/>
    <x v="1"/>
    <x v="2"/>
    <x v="956"/>
  </r>
  <r>
    <n v="43"/>
    <x v="1"/>
    <x v="379"/>
    <x v="1"/>
    <x v="0"/>
    <x v="3"/>
    <x v="957"/>
  </r>
  <r>
    <n v="48"/>
    <x v="1"/>
    <x v="38"/>
    <x v="1"/>
    <x v="1"/>
    <x v="2"/>
    <x v="958"/>
  </r>
  <r>
    <n v="19"/>
    <x v="0"/>
    <x v="472"/>
    <x v="1"/>
    <x v="1"/>
    <x v="2"/>
    <x v="959"/>
  </r>
  <r>
    <n v="29"/>
    <x v="0"/>
    <x v="473"/>
    <x v="0"/>
    <x v="1"/>
    <x v="0"/>
    <x v="960"/>
  </r>
  <r>
    <n v="63"/>
    <x v="0"/>
    <x v="49"/>
    <x v="1"/>
    <x v="1"/>
    <x v="1"/>
    <x v="961"/>
  </r>
  <r>
    <n v="46"/>
    <x v="1"/>
    <x v="88"/>
    <x v="2"/>
    <x v="1"/>
    <x v="3"/>
    <x v="962"/>
  </r>
  <r>
    <n v="52"/>
    <x v="1"/>
    <x v="219"/>
    <x v="3"/>
    <x v="1"/>
    <x v="2"/>
    <x v="963"/>
  </r>
  <r>
    <n v="35"/>
    <x v="1"/>
    <x v="416"/>
    <x v="1"/>
    <x v="1"/>
    <x v="0"/>
    <x v="964"/>
  </r>
  <r>
    <n v="51"/>
    <x v="1"/>
    <x v="88"/>
    <x v="3"/>
    <x v="0"/>
    <x v="2"/>
    <x v="965"/>
  </r>
  <r>
    <n v="44"/>
    <x v="1"/>
    <x v="195"/>
    <x v="1"/>
    <x v="1"/>
    <x v="2"/>
    <x v="966"/>
  </r>
  <r>
    <n v="21"/>
    <x v="1"/>
    <x v="474"/>
    <x v="3"/>
    <x v="1"/>
    <x v="3"/>
    <x v="967"/>
  </r>
  <r>
    <n v="39"/>
    <x v="0"/>
    <x v="419"/>
    <x v="4"/>
    <x v="1"/>
    <x v="1"/>
    <x v="968"/>
  </r>
  <r>
    <n v="50"/>
    <x v="0"/>
    <x v="475"/>
    <x v="2"/>
    <x v="1"/>
    <x v="1"/>
    <x v="969"/>
  </r>
  <r>
    <n v="34"/>
    <x v="0"/>
    <x v="476"/>
    <x v="0"/>
    <x v="1"/>
    <x v="3"/>
    <x v="970"/>
  </r>
  <r>
    <n v="22"/>
    <x v="0"/>
    <x v="281"/>
    <x v="0"/>
    <x v="1"/>
    <x v="2"/>
    <x v="971"/>
  </r>
  <r>
    <n v="19"/>
    <x v="0"/>
    <x v="477"/>
    <x v="0"/>
    <x v="1"/>
    <x v="0"/>
    <x v="972"/>
  </r>
  <r>
    <n v="26"/>
    <x v="1"/>
    <x v="478"/>
    <x v="0"/>
    <x v="1"/>
    <x v="1"/>
    <x v="973"/>
  </r>
  <r>
    <n v="29"/>
    <x v="1"/>
    <x v="83"/>
    <x v="0"/>
    <x v="0"/>
    <x v="3"/>
    <x v="974"/>
  </r>
  <r>
    <n v="48"/>
    <x v="1"/>
    <x v="196"/>
    <x v="0"/>
    <x v="1"/>
    <x v="1"/>
    <x v="975"/>
  </r>
  <r>
    <n v="26"/>
    <x v="1"/>
    <x v="410"/>
    <x v="1"/>
    <x v="1"/>
    <x v="1"/>
    <x v="976"/>
  </r>
  <r>
    <n v="45"/>
    <x v="0"/>
    <x v="479"/>
    <x v="2"/>
    <x v="1"/>
    <x v="3"/>
    <x v="977"/>
  </r>
  <r>
    <n v="36"/>
    <x v="0"/>
    <x v="96"/>
    <x v="0"/>
    <x v="1"/>
    <x v="1"/>
    <x v="978"/>
  </r>
  <r>
    <n v="54"/>
    <x v="1"/>
    <x v="94"/>
    <x v="1"/>
    <x v="1"/>
    <x v="3"/>
    <x v="979"/>
  </r>
  <r>
    <n v="34"/>
    <x v="1"/>
    <x v="383"/>
    <x v="0"/>
    <x v="1"/>
    <x v="3"/>
    <x v="980"/>
  </r>
  <r>
    <n v="31"/>
    <x v="1"/>
    <x v="473"/>
    <x v="2"/>
    <x v="0"/>
    <x v="0"/>
    <x v="981"/>
  </r>
  <r>
    <n v="27"/>
    <x v="0"/>
    <x v="162"/>
    <x v="1"/>
    <x v="1"/>
    <x v="3"/>
    <x v="982"/>
  </r>
  <r>
    <n v="20"/>
    <x v="1"/>
    <x v="95"/>
    <x v="4"/>
    <x v="1"/>
    <x v="3"/>
    <x v="983"/>
  </r>
  <r>
    <n v="44"/>
    <x v="0"/>
    <x v="335"/>
    <x v="1"/>
    <x v="1"/>
    <x v="0"/>
    <x v="984"/>
  </r>
  <r>
    <n v="43"/>
    <x v="1"/>
    <x v="95"/>
    <x v="2"/>
    <x v="1"/>
    <x v="2"/>
    <x v="985"/>
  </r>
  <r>
    <n v="45"/>
    <x v="0"/>
    <x v="215"/>
    <x v="1"/>
    <x v="1"/>
    <x v="2"/>
    <x v="986"/>
  </r>
  <r>
    <n v="34"/>
    <x v="1"/>
    <x v="480"/>
    <x v="0"/>
    <x v="1"/>
    <x v="3"/>
    <x v="987"/>
  </r>
  <r>
    <n v="24"/>
    <x v="0"/>
    <x v="481"/>
    <x v="0"/>
    <x v="0"/>
    <x v="3"/>
    <x v="988"/>
  </r>
  <r>
    <n v="26"/>
    <x v="0"/>
    <x v="202"/>
    <x v="1"/>
    <x v="1"/>
    <x v="0"/>
    <x v="989"/>
  </r>
  <r>
    <n v="38"/>
    <x v="0"/>
    <x v="152"/>
    <x v="3"/>
    <x v="1"/>
    <x v="3"/>
    <x v="990"/>
  </r>
  <r>
    <n v="50"/>
    <x v="0"/>
    <x v="93"/>
    <x v="3"/>
    <x v="1"/>
    <x v="0"/>
    <x v="991"/>
  </r>
  <r>
    <n v="38"/>
    <x v="1"/>
    <x v="356"/>
    <x v="1"/>
    <x v="1"/>
    <x v="1"/>
    <x v="992"/>
  </r>
  <r>
    <n v="27"/>
    <x v="0"/>
    <x v="449"/>
    <x v="2"/>
    <x v="0"/>
    <x v="2"/>
    <x v="993"/>
  </r>
  <r>
    <n v="39"/>
    <x v="0"/>
    <x v="482"/>
    <x v="2"/>
    <x v="1"/>
    <x v="3"/>
    <x v="994"/>
  </r>
  <r>
    <n v="39"/>
    <x v="0"/>
    <x v="22"/>
    <x v="2"/>
    <x v="1"/>
    <x v="0"/>
    <x v="995"/>
  </r>
  <r>
    <n v="63"/>
    <x v="0"/>
    <x v="139"/>
    <x v="0"/>
    <x v="1"/>
    <x v="1"/>
    <x v="996"/>
  </r>
  <r>
    <n v="33"/>
    <x v="0"/>
    <x v="483"/>
    <x v="2"/>
    <x v="1"/>
    <x v="3"/>
    <x v="997"/>
  </r>
  <r>
    <n v="36"/>
    <x v="0"/>
    <x v="78"/>
    <x v="0"/>
    <x v="1"/>
    <x v="2"/>
    <x v="998"/>
  </r>
  <r>
    <n v="30"/>
    <x v="1"/>
    <x v="223"/>
    <x v="3"/>
    <x v="0"/>
    <x v="2"/>
    <x v="999"/>
  </r>
  <r>
    <n v="24"/>
    <x v="1"/>
    <x v="484"/>
    <x v="0"/>
    <x v="0"/>
    <x v="0"/>
    <x v="1000"/>
  </r>
  <r>
    <n v="24"/>
    <x v="1"/>
    <x v="335"/>
    <x v="0"/>
    <x v="1"/>
    <x v="0"/>
    <x v="1001"/>
  </r>
  <r>
    <n v="48"/>
    <x v="1"/>
    <x v="303"/>
    <x v="0"/>
    <x v="1"/>
    <x v="0"/>
    <x v="1002"/>
  </r>
  <r>
    <n v="47"/>
    <x v="1"/>
    <x v="485"/>
    <x v="1"/>
    <x v="1"/>
    <x v="3"/>
    <x v="1003"/>
  </r>
  <r>
    <n v="29"/>
    <x v="1"/>
    <x v="294"/>
    <x v="3"/>
    <x v="1"/>
    <x v="2"/>
    <x v="1004"/>
  </r>
  <r>
    <n v="28"/>
    <x v="1"/>
    <x v="245"/>
    <x v="3"/>
    <x v="1"/>
    <x v="3"/>
    <x v="1005"/>
  </r>
  <r>
    <n v="47"/>
    <x v="1"/>
    <x v="143"/>
    <x v="2"/>
    <x v="0"/>
    <x v="2"/>
    <x v="1006"/>
  </r>
  <r>
    <n v="25"/>
    <x v="1"/>
    <x v="255"/>
    <x v="3"/>
    <x v="1"/>
    <x v="3"/>
    <x v="1007"/>
  </r>
  <r>
    <n v="51"/>
    <x v="1"/>
    <x v="7"/>
    <x v="1"/>
    <x v="1"/>
    <x v="3"/>
    <x v="1008"/>
  </r>
  <r>
    <n v="48"/>
    <x v="0"/>
    <x v="414"/>
    <x v="0"/>
    <x v="1"/>
    <x v="0"/>
    <x v="1009"/>
  </r>
  <r>
    <n v="43"/>
    <x v="1"/>
    <x v="486"/>
    <x v="3"/>
    <x v="0"/>
    <x v="1"/>
    <x v="1010"/>
  </r>
  <r>
    <n v="61"/>
    <x v="0"/>
    <x v="230"/>
    <x v="5"/>
    <x v="1"/>
    <x v="1"/>
    <x v="1011"/>
  </r>
  <r>
    <n v="48"/>
    <x v="1"/>
    <x v="243"/>
    <x v="1"/>
    <x v="1"/>
    <x v="2"/>
    <x v="1012"/>
  </r>
  <r>
    <n v="38"/>
    <x v="0"/>
    <x v="244"/>
    <x v="0"/>
    <x v="1"/>
    <x v="0"/>
    <x v="1013"/>
  </r>
  <r>
    <n v="59"/>
    <x v="1"/>
    <x v="94"/>
    <x v="0"/>
    <x v="1"/>
    <x v="2"/>
    <x v="1014"/>
  </r>
  <r>
    <n v="19"/>
    <x v="0"/>
    <x v="456"/>
    <x v="1"/>
    <x v="1"/>
    <x v="2"/>
    <x v="1015"/>
  </r>
  <r>
    <n v="26"/>
    <x v="0"/>
    <x v="206"/>
    <x v="3"/>
    <x v="1"/>
    <x v="0"/>
    <x v="1016"/>
  </r>
  <r>
    <n v="54"/>
    <x v="0"/>
    <x v="427"/>
    <x v="2"/>
    <x v="1"/>
    <x v="2"/>
    <x v="1017"/>
  </r>
  <r>
    <n v="21"/>
    <x v="0"/>
    <x v="297"/>
    <x v="3"/>
    <x v="1"/>
    <x v="2"/>
    <x v="1018"/>
  </r>
  <r>
    <n v="51"/>
    <x v="1"/>
    <x v="144"/>
    <x v="0"/>
    <x v="1"/>
    <x v="0"/>
    <x v="1019"/>
  </r>
  <r>
    <n v="22"/>
    <x v="0"/>
    <x v="270"/>
    <x v="2"/>
    <x v="0"/>
    <x v="1"/>
    <x v="1020"/>
  </r>
  <r>
    <n v="47"/>
    <x v="1"/>
    <x v="168"/>
    <x v="1"/>
    <x v="0"/>
    <x v="1"/>
    <x v="1021"/>
  </r>
  <r>
    <n v="18"/>
    <x v="1"/>
    <x v="487"/>
    <x v="1"/>
    <x v="1"/>
    <x v="1"/>
    <x v="1022"/>
  </r>
  <r>
    <n v="47"/>
    <x v="0"/>
    <x v="488"/>
    <x v="1"/>
    <x v="1"/>
    <x v="1"/>
    <x v="1023"/>
  </r>
  <r>
    <n v="21"/>
    <x v="0"/>
    <x v="489"/>
    <x v="0"/>
    <x v="1"/>
    <x v="0"/>
    <x v="1024"/>
  </r>
  <r>
    <n v="19"/>
    <x v="1"/>
    <x v="327"/>
    <x v="1"/>
    <x v="0"/>
    <x v="2"/>
    <x v="1025"/>
  </r>
  <r>
    <n v="23"/>
    <x v="1"/>
    <x v="490"/>
    <x v="0"/>
    <x v="1"/>
    <x v="2"/>
    <x v="1026"/>
  </r>
  <r>
    <n v="54"/>
    <x v="1"/>
    <x v="93"/>
    <x v="0"/>
    <x v="1"/>
    <x v="0"/>
    <x v="1027"/>
  </r>
  <r>
    <n v="37"/>
    <x v="0"/>
    <x v="193"/>
    <x v="3"/>
    <x v="1"/>
    <x v="3"/>
    <x v="1028"/>
  </r>
  <r>
    <n v="46"/>
    <x v="0"/>
    <x v="367"/>
    <x v="1"/>
    <x v="0"/>
    <x v="2"/>
    <x v="1029"/>
  </r>
  <r>
    <n v="55"/>
    <x v="0"/>
    <x v="49"/>
    <x v="0"/>
    <x v="0"/>
    <x v="1"/>
    <x v="1030"/>
  </r>
  <r>
    <n v="30"/>
    <x v="0"/>
    <x v="325"/>
    <x v="0"/>
    <x v="1"/>
    <x v="3"/>
    <x v="1031"/>
  </r>
  <r>
    <n v="18"/>
    <x v="1"/>
    <x v="491"/>
    <x v="0"/>
    <x v="0"/>
    <x v="3"/>
    <x v="1032"/>
  </r>
  <r>
    <n v="61"/>
    <x v="1"/>
    <x v="275"/>
    <x v="0"/>
    <x v="1"/>
    <x v="2"/>
    <x v="1033"/>
  </r>
  <r>
    <n v="54"/>
    <x v="0"/>
    <x v="492"/>
    <x v="2"/>
    <x v="1"/>
    <x v="0"/>
    <x v="1034"/>
  </r>
  <r>
    <n v="22"/>
    <x v="1"/>
    <x v="493"/>
    <x v="3"/>
    <x v="0"/>
    <x v="1"/>
    <x v="1035"/>
  </r>
  <r>
    <n v="45"/>
    <x v="0"/>
    <x v="131"/>
    <x v="1"/>
    <x v="0"/>
    <x v="2"/>
    <x v="1036"/>
  </r>
  <r>
    <n v="22"/>
    <x v="1"/>
    <x v="4"/>
    <x v="0"/>
    <x v="1"/>
    <x v="3"/>
    <x v="1037"/>
  </r>
  <r>
    <n v="19"/>
    <x v="1"/>
    <x v="288"/>
    <x v="3"/>
    <x v="1"/>
    <x v="2"/>
    <x v="1038"/>
  </r>
  <r>
    <n v="35"/>
    <x v="0"/>
    <x v="24"/>
    <x v="0"/>
    <x v="0"/>
    <x v="2"/>
    <x v="1039"/>
  </r>
  <r>
    <n v="18"/>
    <x v="1"/>
    <x v="26"/>
    <x v="0"/>
    <x v="1"/>
    <x v="3"/>
    <x v="1040"/>
  </r>
  <r>
    <n v="20"/>
    <x v="1"/>
    <x v="264"/>
    <x v="0"/>
    <x v="0"/>
    <x v="3"/>
    <x v="1041"/>
  </r>
  <r>
    <n v="28"/>
    <x v="0"/>
    <x v="335"/>
    <x v="0"/>
    <x v="1"/>
    <x v="0"/>
    <x v="1042"/>
  </r>
  <r>
    <n v="55"/>
    <x v="1"/>
    <x v="249"/>
    <x v="1"/>
    <x v="1"/>
    <x v="3"/>
    <x v="1043"/>
  </r>
  <r>
    <n v="43"/>
    <x v="0"/>
    <x v="62"/>
    <x v="3"/>
    <x v="0"/>
    <x v="2"/>
    <x v="1044"/>
  </r>
  <r>
    <n v="43"/>
    <x v="0"/>
    <x v="322"/>
    <x v="0"/>
    <x v="1"/>
    <x v="3"/>
    <x v="1045"/>
  </r>
  <r>
    <n v="22"/>
    <x v="1"/>
    <x v="494"/>
    <x v="1"/>
    <x v="0"/>
    <x v="1"/>
    <x v="1046"/>
  </r>
  <r>
    <n v="25"/>
    <x v="0"/>
    <x v="422"/>
    <x v="1"/>
    <x v="1"/>
    <x v="2"/>
    <x v="1047"/>
  </r>
  <r>
    <n v="49"/>
    <x v="1"/>
    <x v="157"/>
    <x v="0"/>
    <x v="0"/>
    <x v="0"/>
    <x v="1048"/>
  </r>
  <r>
    <n v="44"/>
    <x v="0"/>
    <x v="55"/>
    <x v="1"/>
    <x v="1"/>
    <x v="2"/>
    <x v="1049"/>
  </r>
  <r>
    <n v="64"/>
    <x v="1"/>
    <x v="154"/>
    <x v="0"/>
    <x v="1"/>
    <x v="3"/>
    <x v="1050"/>
  </r>
  <r>
    <n v="49"/>
    <x v="1"/>
    <x v="8"/>
    <x v="1"/>
    <x v="1"/>
    <x v="3"/>
    <x v="1051"/>
  </r>
  <r>
    <n v="47"/>
    <x v="1"/>
    <x v="141"/>
    <x v="2"/>
    <x v="0"/>
    <x v="0"/>
    <x v="1052"/>
  </r>
  <r>
    <n v="27"/>
    <x v="0"/>
    <x v="321"/>
    <x v="0"/>
    <x v="1"/>
    <x v="2"/>
    <x v="1053"/>
  </r>
  <r>
    <n v="55"/>
    <x v="1"/>
    <x v="215"/>
    <x v="0"/>
    <x v="1"/>
    <x v="2"/>
    <x v="1054"/>
  </r>
  <r>
    <n v="48"/>
    <x v="0"/>
    <x v="65"/>
    <x v="0"/>
    <x v="1"/>
    <x v="0"/>
    <x v="1055"/>
  </r>
  <r>
    <n v="45"/>
    <x v="0"/>
    <x v="211"/>
    <x v="0"/>
    <x v="1"/>
    <x v="1"/>
    <x v="1056"/>
  </r>
  <r>
    <n v="24"/>
    <x v="0"/>
    <x v="87"/>
    <x v="0"/>
    <x v="1"/>
    <x v="1"/>
    <x v="1057"/>
  </r>
  <r>
    <n v="32"/>
    <x v="1"/>
    <x v="312"/>
    <x v="1"/>
    <x v="1"/>
    <x v="2"/>
    <x v="1058"/>
  </r>
  <r>
    <n v="24"/>
    <x v="1"/>
    <x v="72"/>
    <x v="0"/>
    <x v="1"/>
    <x v="1"/>
    <x v="1059"/>
  </r>
  <r>
    <n v="57"/>
    <x v="1"/>
    <x v="100"/>
    <x v="1"/>
    <x v="1"/>
    <x v="1"/>
    <x v="1060"/>
  </r>
  <r>
    <n v="59"/>
    <x v="1"/>
    <x v="421"/>
    <x v="1"/>
    <x v="0"/>
    <x v="1"/>
    <x v="1061"/>
  </r>
  <r>
    <n v="36"/>
    <x v="1"/>
    <x v="105"/>
    <x v="2"/>
    <x v="1"/>
    <x v="2"/>
    <x v="1062"/>
  </r>
  <r>
    <n v="29"/>
    <x v="0"/>
    <x v="248"/>
    <x v="5"/>
    <x v="1"/>
    <x v="0"/>
    <x v="1063"/>
  </r>
  <r>
    <n v="42"/>
    <x v="0"/>
    <x v="128"/>
    <x v="1"/>
    <x v="1"/>
    <x v="0"/>
    <x v="1064"/>
  </r>
  <r>
    <n v="48"/>
    <x v="1"/>
    <x v="348"/>
    <x v="3"/>
    <x v="1"/>
    <x v="1"/>
    <x v="1065"/>
  </r>
  <r>
    <n v="39"/>
    <x v="1"/>
    <x v="495"/>
    <x v="0"/>
    <x v="1"/>
    <x v="3"/>
    <x v="1066"/>
  </r>
  <r>
    <n v="63"/>
    <x v="1"/>
    <x v="496"/>
    <x v="1"/>
    <x v="1"/>
    <x v="2"/>
    <x v="1067"/>
  </r>
  <r>
    <n v="54"/>
    <x v="0"/>
    <x v="125"/>
    <x v="1"/>
    <x v="1"/>
    <x v="1"/>
    <x v="1068"/>
  </r>
  <r>
    <n v="37"/>
    <x v="1"/>
    <x v="493"/>
    <x v="1"/>
    <x v="0"/>
    <x v="1"/>
    <x v="1069"/>
  </r>
  <r>
    <n v="63"/>
    <x v="1"/>
    <x v="268"/>
    <x v="0"/>
    <x v="1"/>
    <x v="3"/>
    <x v="1070"/>
  </r>
  <r>
    <n v="21"/>
    <x v="1"/>
    <x v="468"/>
    <x v="0"/>
    <x v="1"/>
    <x v="2"/>
    <x v="1071"/>
  </r>
  <r>
    <n v="54"/>
    <x v="0"/>
    <x v="4"/>
    <x v="3"/>
    <x v="1"/>
    <x v="3"/>
    <x v="1072"/>
  </r>
  <r>
    <n v="60"/>
    <x v="0"/>
    <x v="469"/>
    <x v="0"/>
    <x v="1"/>
    <x v="3"/>
    <x v="1073"/>
  </r>
  <r>
    <n v="32"/>
    <x v="0"/>
    <x v="75"/>
    <x v="1"/>
    <x v="1"/>
    <x v="1"/>
    <x v="1074"/>
  </r>
  <r>
    <n v="47"/>
    <x v="0"/>
    <x v="497"/>
    <x v="1"/>
    <x v="1"/>
    <x v="0"/>
    <x v="1075"/>
  </r>
  <r>
    <n v="21"/>
    <x v="1"/>
    <x v="327"/>
    <x v="0"/>
    <x v="1"/>
    <x v="3"/>
    <x v="1076"/>
  </r>
  <r>
    <n v="28"/>
    <x v="1"/>
    <x v="57"/>
    <x v="0"/>
    <x v="0"/>
    <x v="1"/>
    <x v="1077"/>
  </r>
  <r>
    <n v="63"/>
    <x v="1"/>
    <x v="61"/>
    <x v="2"/>
    <x v="1"/>
    <x v="1"/>
    <x v="1078"/>
  </r>
  <r>
    <n v="18"/>
    <x v="1"/>
    <x v="42"/>
    <x v="3"/>
    <x v="1"/>
    <x v="1"/>
    <x v="1079"/>
  </r>
  <r>
    <n v="32"/>
    <x v="1"/>
    <x v="152"/>
    <x v="1"/>
    <x v="1"/>
    <x v="2"/>
    <x v="1080"/>
  </r>
  <r>
    <n v="38"/>
    <x v="1"/>
    <x v="91"/>
    <x v="1"/>
    <x v="1"/>
    <x v="2"/>
    <x v="1081"/>
  </r>
  <r>
    <n v="32"/>
    <x v="1"/>
    <x v="434"/>
    <x v="1"/>
    <x v="1"/>
    <x v="0"/>
    <x v="1082"/>
  </r>
  <r>
    <n v="62"/>
    <x v="0"/>
    <x v="131"/>
    <x v="3"/>
    <x v="1"/>
    <x v="2"/>
    <x v="1083"/>
  </r>
  <r>
    <n v="39"/>
    <x v="0"/>
    <x v="498"/>
    <x v="4"/>
    <x v="0"/>
    <x v="0"/>
    <x v="1084"/>
  </r>
  <r>
    <n v="55"/>
    <x v="1"/>
    <x v="111"/>
    <x v="0"/>
    <x v="1"/>
    <x v="3"/>
    <x v="1085"/>
  </r>
  <r>
    <n v="57"/>
    <x v="1"/>
    <x v="381"/>
    <x v="0"/>
    <x v="1"/>
    <x v="2"/>
    <x v="1086"/>
  </r>
  <r>
    <n v="52"/>
    <x v="1"/>
    <x v="499"/>
    <x v="1"/>
    <x v="1"/>
    <x v="1"/>
    <x v="1087"/>
  </r>
  <r>
    <n v="56"/>
    <x v="1"/>
    <x v="500"/>
    <x v="0"/>
    <x v="1"/>
    <x v="0"/>
    <x v="1088"/>
  </r>
  <r>
    <n v="47"/>
    <x v="1"/>
    <x v="67"/>
    <x v="0"/>
    <x v="0"/>
    <x v="1"/>
    <x v="1089"/>
  </r>
  <r>
    <n v="55"/>
    <x v="0"/>
    <x v="8"/>
    <x v="0"/>
    <x v="1"/>
    <x v="3"/>
    <x v="1090"/>
  </r>
  <r>
    <n v="23"/>
    <x v="1"/>
    <x v="484"/>
    <x v="2"/>
    <x v="1"/>
    <x v="0"/>
    <x v="1091"/>
  </r>
  <r>
    <n v="22"/>
    <x v="0"/>
    <x v="257"/>
    <x v="0"/>
    <x v="0"/>
    <x v="2"/>
    <x v="1092"/>
  </r>
  <r>
    <n v="50"/>
    <x v="0"/>
    <x v="175"/>
    <x v="5"/>
    <x v="1"/>
    <x v="0"/>
    <x v="1093"/>
  </r>
  <r>
    <n v="18"/>
    <x v="0"/>
    <x v="112"/>
    <x v="5"/>
    <x v="1"/>
    <x v="3"/>
    <x v="1094"/>
  </r>
  <r>
    <n v="51"/>
    <x v="0"/>
    <x v="379"/>
    <x v="3"/>
    <x v="0"/>
    <x v="3"/>
    <x v="1095"/>
  </r>
  <r>
    <n v="22"/>
    <x v="1"/>
    <x v="1"/>
    <x v="0"/>
    <x v="1"/>
    <x v="1"/>
    <x v="1096"/>
  </r>
  <r>
    <n v="52"/>
    <x v="0"/>
    <x v="99"/>
    <x v="0"/>
    <x v="1"/>
    <x v="3"/>
    <x v="1097"/>
  </r>
  <r>
    <n v="25"/>
    <x v="0"/>
    <x v="457"/>
    <x v="1"/>
    <x v="1"/>
    <x v="1"/>
    <x v="1098"/>
  </r>
  <r>
    <n v="33"/>
    <x v="0"/>
    <x v="501"/>
    <x v="3"/>
    <x v="0"/>
    <x v="3"/>
    <x v="1099"/>
  </r>
  <r>
    <n v="53"/>
    <x v="1"/>
    <x v="32"/>
    <x v="2"/>
    <x v="1"/>
    <x v="0"/>
    <x v="1100"/>
  </r>
  <r>
    <n v="29"/>
    <x v="1"/>
    <x v="447"/>
    <x v="1"/>
    <x v="1"/>
    <x v="1"/>
    <x v="1101"/>
  </r>
  <r>
    <n v="58"/>
    <x v="1"/>
    <x v="168"/>
    <x v="0"/>
    <x v="1"/>
    <x v="1"/>
    <x v="1102"/>
  </r>
  <r>
    <n v="37"/>
    <x v="1"/>
    <x v="141"/>
    <x v="0"/>
    <x v="1"/>
    <x v="0"/>
    <x v="1103"/>
  </r>
  <r>
    <n v="54"/>
    <x v="0"/>
    <x v="502"/>
    <x v="0"/>
    <x v="1"/>
    <x v="1"/>
    <x v="1104"/>
  </r>
  <r>
    <n v="49"/>
    <x v="0"/>
    <x v="503"/>
    <x v="0"/>
    <x v="1"/>
    <x v="2"/>
    <x v="1105"/>
  </r>
  <r>
    <n v="50"/>
    <x v="0"/>
    <x v="10"/>
    <x v="3"/>
    <x v="1"/>
    <x v="2"/>
    <x v="1106"/>
  </r>
  <r>
    <n v="26"/>
    <x v="1"/>
    <x v="308"/>
    <x v="1"/>
    <x v="1"/>
    <x v="0"/>
    <x v="1107"/>
  </r>
  <r>
    <n v="45"/>
    <x v="1"/>
    <x v="504"/>
    <x v="2"/>
    <x v="1"/>
    <x v="1"/>
    <x v="1108"/>
  </r>
  <r>
    <n v="54"/>
    <x v="0"/>
    <x v="243"/>
    <x v="1"/>
    <x v="1"/>
    <x v="3"/>
    <x v="1109"/>
  </r>
  <r>
    <n v="38"/>
    <x v="1"/>
    <x v="186"/>
    <x v="2"/>
    <x v="0"/>
    <x v="1"/>
    <x v="1110"/>
  </r>
  <r>
    <n v="48"/>
    <x v="0"/>
    <x v="505"/>
    <x v="2"/>
    <x v="0"/>
    <x v="1"/>
    <x v="1111"/>
  </r>
  <r>
    <n v="28"/>
    <x v="0"/>
    <x v="31"/>
    <x v="2"/>
    <x v="1"/>
    <x v="2"/>
    <x v="1112"/>
  </r>
  <r>
    <n v="23"/>
    <x v="1"/>
    <x v="184"/>
    <x v="0"/>
    <x v="1"/>
    <x v="3"/>
    <x v="1113"/>
  </r>
  <r>
    <n v="55"/>
    <x v="1"/>
    <x v="314"/>
    <x v="1"/>
    <x v="1"/>
    <x v="1"/>
    <x v="1114"/>
  </r>
  <r>
    <n v="41"/>
    <x v="1"/>
    <x v="142"/>
    <x v="4"/>
    <x v="1"/>
    <x v="3"/>
    <x v="1115"/>
  </r>
  <r>
    <n v="25"/>
    <x v="1"/>
    <x v="230"/>
    <x v="3"/>
    <x v="0"/>
    <x v="1"/>
    <x v="1116"/>
  </r>
  <r>
    <n v="33"/>
    <x v="1"/>
    <x v="246"/>
    <x v="1"/>
    <x v="0"/>
    <x v="1"/>
    <x v="1117"/>
  </r>
  <r>
    <n v="30"/>
    <x v="0"/>
    <x v="91"/>
    <x v="2"/>
    <x v="1"/>
    <x v="2"/>
    <x v="1118"/>
  </r>
  <r>
    <n v="23"/>
    <x v="0"/>
    <x v="234"/>
    <x v="0"/>
    <x v="0"/>
    <x v="0"/>
    <x v="1119"/>
  </r>
  <r>
    <n v="46"/>
    <x v="1"/>
    <x v="271"/>
    <x v="3"/>
    <x v="1"/>
    <x v="1"/>
    <x v="1120"/>
  </r>
  <r>
    <n v="53"/>
    <x v="0"/>
    <x v="350"/>
    <x v="2"/>
    <x v="0"/>
    <x v="2"/>
    <x v="1121"/>
  </r>
  <r>
    <n v="27"/>
    <x v="0"/>
    <x v="203"/>
    <x v="1"/>
    <x v="1"/>
    <x v="3"/>
    <x v="1122"/>
  </r>
  <r>
    <n v="23"/>
    <x v="0"/>
    <x v="506"/>
    <x v="1"/>
    <x v="0"/>
    <x v="3"/>
    <x v="1123"/>
  </r>
  <r>
    <n v="63"/>
    <x v="0"/>
    <x v="322"/>
    <x v="0"/>
    <x v="1"/>
    <x v="2"/>
    <x v="1124"/>
  </r>
  <r>
    <n v="55"/>
    <x v="1"/>
    <x v="441"/>
    <x v="0"/>
    <x v="1"/>
    <x v="0"/>
    <x v="1125"/>
  </r>
  <r>
    <n v="35"/>
    <x v="0"/>
    <x v="191"/>
    <x v="3"/>
    <x v="1"/>
    <x v="1"/>
    <x v="1126"/>
  </r>
  <r>
    <n v="34"/>
    <x v="1"/>
    <x v="163"/>
    <x v="1"/>
    <x v="1"/>
    <x v="0"/>
    <x v="1127"/>
  </r>
  <r>
    <n v="19"/>
    <x v="0"/>
    <x v="507"/>
    <x v="0"/>
    <x v="1"/>
    <x v="0"/>
    <x v="1128"/>
  </r>
  <r>
    <n v="39"/>
    <x v="0"/>
    <x v="508"/>
    <x v="4"/>
    <x v="1"/>
    <x v="1"/>
    <x v="1129"/>
  </r>
  <r>
    <n v="27"/>
    <x v="1"/>
    <x v="509"/>
    <x v="3"/>
    <x v="1"/>
    <x v="0"/>
    <x v="1130"/>
  </r>
  <r>
    <n v="57"/>
    <x v="1"/>
    <x v="405"/>
    <x v="0"/>
    <x v="1"/>
    <x v="3"/>
    <x v="1131"/>
  </r>
  <r>
    <n v="52"/>
    <x v="0"/>
    <x v="469"/>
    <x v="0"/>
    <x v="1"/>
    <x v="2"/>
    <x v="1132"/>
  </r>
  <r>
    <n v="28"/>
    <x v="1"/>
    <x v="312"/>
    <x v="0"/>
    <x v="1"/>
    <x v="2"/>
    <x v="1133"/>
  </r>
  <r>
    <n v="50"/>
    <x v="0"/>
    <x v="213"/>
    <x v="2"/>
    <x v="1"/>
    <x v="2"/>
    <x v="1134"/>
  </r>
  <r>
    <n v="44"/>
    <x v="0"/>
    <x v="459"/>
    <x v="1"/>
    <x v="1"/>
    <x v="0"/>
    <x v="1135"/>
  </r>
  <r>
    <n v="26"/>
    <x v="0"/>
    <x v="259"/>
    <x v="0"/>
    <x v="1"/>
    <x v="2"/>
    <x v="1136"/>
  </r>
  <r>
    <n v="33"/>
    <x v="1"/>
    <x v="328"/>
    <x v="0"/>
    <x v="1"/>
    <x v="1"/>
    <x v="1137"/>
  </r>
  <r>
    <n v="19"/>
    <x v="0"/>
    <x v="127"/>
    <x v="0"/>
    <x v="0"/>
    <x v="2"/>
    <x v="1138"/>
  </r>
  <r>
    <n v="50"/>
    <x v="1"/>
    <x v="493"/>
    <x v="1"/>
    <x v="1"/>
    <x v="1"/>
    <x v="1139"/>
  </r>
  <r>
    <n v="41"/>
    <x v="0"/>
    <x v="365"/>
    <x v="2"/>
    <x v="1"/>
    <x v="0"/>
    <x v="1140"/>
  </r>
  <r>
    <n v="52"/>
    <x v="0"/>
    <x v="443"/>
    <x v="0"/>
    <x v="1"/>
    <x v="1"/>
    <x v="1141"/>
  </r>
  <r>
    <n v="39"/>
    <x v="1"/>
    <x v="454"/>
    <x v="3"/>
    <x v="1"/>
    <x v="1"/>
    <x v="1142"/>
  </r>
  <r>
    <n v="50"/>
    <x v="1"/>
    <x v="243"/>
    <x v="3"/>
    <x v="1"/>
    <x v="0"/>
    <x v="1143"/>
  </r>
  <r>
    <n v="52"/>
    <x v="1"/>
    <x v="27"/>
    <x v="2"/>
    <x v="1"/>
    <x v="2"/>
    <x v="1144"/>
  </r>
  <r>
    <n v="60"/>
    <x v="1"/>
    <x v="163"/>
    <x v="0"/>
    <x v="0"/>
    <x v="0"/>
    <x v="1145"/>
  </r>
  <r>
    <n v="20"/>
    <x v="0"/>
    <x v="23"/>
    <x v="0"/>
    <x v="1"/>
    <x v="2"/>
    <x v="1146"/>
  </r>
  <r>
    <n v="55"/>
    <x v="1"/>
    <x v="510"/>
    <x v="1"/>
    <x v="1"/>
    <x v="0"/>
    <x v="1147"/>
  </r>
  <r>
    <n v="42"/>
    <x v="1"/>
    <x v="22"/>
    <x v="0"/>
    <x v="1"/>
    <x v="0"/>
    <x v="1148"/>
  </r>
  <r>
    <n v="18"/>
    <x v="0"/>
    <x v="511"/>
    <x v="0"/>
    <x v="1"/>
    <x v="3"/>
    <x v="1149"/>
  </r>
  <r>
    <n v="58"/>
    <x v="0"/>
    <x v="238"/>
    <x v="0"/>
    <x v="1"/>
    <x v="2"/>
    <x v="1150"/>
  </r>
  <r>
    <n v="43"/>
    <x v="0"/>
    <x v="316"/>
    <x v="2"/>
    <x v="0"/>
    <x v="1"/>
    <x v="1151"/>
  </r>
  <r>
    <n v="35"/>
    <x v="0"/>
    <x v="427"/>
    <x v="1"/>
    <x v="1"/>
    <x v="2"/>
    <x v="1152"/>
  </r>
  <r>
    <n v="48"/>
    <x v="0"/>
    <x v="325"/>
    <x v="5"/>
    <x v="1"/>
    <x v="2"/>
    <x v="1153"/>
  </r>
  <r>
    <n v="36"/>
    <x v="0"/>
    <x v="188"/>
    <x v="2"/>
    <x v="1"/>
    <x v="3"/>
    <x v="1154"/>
  </r>
  <r>
    <n v="19"/>
    <x v="1"/>
    <x v="512"/>
    <x v="0"/>
    <x v="0"/>
    <x v="1"/>
    <x v="1155"/>
  </r>
  <r>
    <n v="23"/>
    <x v="0"/>
    <x v="247"/>
    <x v="3"/>
    <x v="1"/>
    <x v="2"/>
    <x v="1156"/>
  </r>
  <r>
    <n v="20"/>
    <x v="0"/>
    <x v="162"/>
    <x v="0"/>
    <x v="1"/>
    <x v="3"/>
    <x v="1157"/>
  </r>
  <r>
    <n v="32"/>
    <x v="0"/>
    <x v="513"/>
    <x v="0"/>
    <x v="1"/>
    <x v="0"/>
    <x v="1158"/>
  </r>
  <r>
    <n v="43"/>
    <x v="0"/>
    <x v="415"/>
    <x v="1"/>
    <x v="1"/>
    <x v="2"/>
    <x v="1159"/>
  </r>
  <r>
    <n v="34"/>
    <x v="1"/>
    <x v="14"/>
    <x v="3"/>
    <x v="1"/>
    <x v="1"/>
    <x v="1160"/>
  </r>
  <r>
    <n v="30"/>
    <x v="1"/>
    <x v="130"/>
    <x v="1"/>
    <x v="1"/>
    <x v="1"/>
    <x v="1161"/>
  </r>
  <r>
    <n v="18"/>
    <x v="0"/>
    <x v="143"/>
    <x v="0"/>
    <x v="1"/>
    <x v="3"/>
    <x v="1162"/>
  </r>
  <r>
    <n v="41"/>
    <x v="0"/>
    <x v="33"/>
    <x v="1"/>
    <x v="1"/>
    <x v="2"/>
    <x v="1163"/>
  </r>
  <r>
    <n v="35"/>
    <x v="0"/>
    <x v="388"/>
    <x v="0"/>
    <x v="1"/>
    <x v="3"/>
    <x v="1164"/>
  </r>
  <r>
    <n v="57"/>
    <x v="1"/>
    <x v="514"/>
    <x v="0"/>
    <x v="1"/>
    <x v="1"/>
    <x v="1165"/>
  </r>
  <r>
    <n v="29"/>
    <x v="0"/>
    <x v="15"/>
    <x v="3"/>
    <x v="1"/>
    <x v="0"/>
    <x v="1166"/>
  </r>
  <r>
    <n v="32"/>
    <x v="1"/>
    <x v="49"/>
    <x v="3"/>
    <x v="1"/>
    <x v="0"/>
    <x v="1167"/>
  </r>
  <r>
    <n v="37"/>
    <x v="0"/>
    <x v="237"/>
    <x v="1"/>
    <x v="1"/>
    <x v="2"/>
    <x v="1168"/>
  </r>
  <r>
    <n v="18"/>
    <x v="1"/>
    <x v="60"/>
    <x v="1"/>
    <x v="0"/>
    <x v="3"/>
    <x v="1169"/>
  </r>
  <r>
    <n v="43"/>
    <x v="0"/>
    <x v="418"/>
    <x v="3"/>
    <x v="0"/>
    <x v="0"/>
    <x v="1170"/>
  </r>
  <r>
    <n v="56"/>
    <x v="0"/>
    <x v="180"/>
    <x v="0"/>
    <x v="1"/>
    <x v="1"/>
    <x v="1171"/>
  </r>
  <r>
    <n v="38"/>
    <x v="1"/>
    <x v="245"/>
    <x v="3"/>
    <x v="1"/>
    <x v="2"/>
    <x v="1172"/>
  </r>
  <r>
    <n v="29"/>
    <x v="1"/>
    <x v="159"/>
    <x v="3"/>
    <x v="1"/>
    <x v="2"/>
    <x v="1173"/>
  </r>
  <r>
    <n v="22"/>
    <x v="0"/>
    <x v="416"/>
    <x v="0"/>
    <x v="1"/>
    <x v="0"/>
    <x v="1174"/>
  </r>
  <r>
    <n v="52"/>
    <x v="0"/>
    <x v="134"/>
    <x v="1"/>
    <x v="0"/>
    <x v="2"/>
    <x v="1175"/>
  </r>
  <r>
    <n v="40"/>
    <x v="0"/>
    <x v="73"/>
    <x v="1"/>
    <x v="1"/>
    <x v="0"/>
    <x v="1176"/>
  </r>
  <r>
    <n v="23"/>
    <x v="0"/>
    <x v="231"/>
    <x v="0"/>
    <x v="1"/>
    <x v="3"/>
    <x v="1177"/>
  </r>
  <r>
    <n v="31"/>
    <x v="1"/>
    <x v="382"/>
    <x v="0"/>
    <x v="0"/>
    <x v="1"/>
    <x v="1178"/>
  </r>
  <r>
    <n v="42"/>
    <x v="0"/>
    <x v="317"/>
    <x v="1"/>
    <x v="1"/>
    <x v="3"/>
    <x v="1179"/>
  </r>
  <r>
    <n v="24"/>
    <x v="0"/>
    <x v="503"/>
    <x v="0"/>
    <x v="1"/>
    <x v="2"/>
    <x v="1180"/>
  </r>
  <r>
    <n v="25"/>
    <x v="0"/>
    <x v="148"/>
    <x v="0"/>
    <x v="1"/>
    <x v="0"/>
    <x v="1181"/>
  </r>
  <r>
    <n v="48"/>
    <x v="0"/>
    <x v="60"/>
    <x v="1"/>
    <x v="1"/>
    <x v="3"/>
    <x v="1182"/>
  </r>
  <r>
    <n v="23"/>
    <x v="0"/>
    <x v="515"/>
    <x v="1"/>
    <x v="0"/>
    <x v="1"/>
    <x v="1183"/>
  </r>
  <r>
    <n v="45"/>
    <x v="1"/>
    <x v="476"/>
    <x v="3"/>
    <x v="1"/>
    <x v="3"/>
    <x v="1184"/>
  </r>
  <r>
    <n v="20"/>
    <x v="1"/>
    <x v="50"/>
    <x v="2"/>
    <x v="0"/>
    <x v="2"/>
    <x v="1185"/>
  </r>
  <r>
    <n v="62"/>
    <x v="0"/>
    <x v="297"/>
    <x v="0"/>
    <x v="1"/>
    <x v="2"/>
    <x v="1186"/>
  </r>
  <r>
    <n v="43"/>
    <x v="0"/>
    <x v="235"/>
    <x v="1"/>
    <x v="0"/>
    <x v="3"/>
    <x v="1187"/>
  </r>
  <r>
    <n v="23"/>
    <x v="0"/>
    <x v="52"/>
    <x v="0"/>
    <x v="1"/>
    <x v="0"/>
    <x v="1188"/>
  </r>
  <r>
    <n v="31"/>
    <x v="0"/>
    <x v="27"/>
    <x v="3"/>
    <x v="1"/>
    <x v="2"/>
    <x v="1189"/>
  </r>
  <r>
    <n v="41"/>
    <x v="0"/>
    <x v="404"/>
    <x v="1"/>
    <x v="1"/>
    <x v="3"/>
    <x v="1190"/>
  </r>
  <r>
    <n v="58"/>
    <x v="0"/>
    <x v="203"/>
    <x v="1"/>
    <x v="1"/>
    <x v="3"/>
    <x v="1191"/>
  </r>
  <r>
    <n v="48"/>
    <x v="0"/>
    <x v="429"/>
    <x v="0"/>
    <x v="1"/>
    <x v="2"/>
    <x v="1192"/>
  </r>
  <r>
    <n v="31"/>
    <x v="0"/>
    <x v="404"/>
    <x v="0"/>
    <x v="1"/>
    <x v="2"/>
    <x v="1193"/>
  </r>
  <r>
    <n v="19"/>
    <x v="0"/>
    <x v="325"/>
    <x v="2"/>
    <x v="1"/>
    <x v="2"/>
    <x v="1194"/>
  </r>
  <r>
    <n v="19"/>
    <x v="0"/>
    <x v="190"/>
    <x v="0"/>
    <x v="0"/>
    <x v="2"/>
    <x v="1195"/>
  </r>
  <r>
    <n v="41"/>
    <x v="1"/>
    <x v="516"/>
    <x v="0"/>
    <x v="1"/>
    <x v="1"/>
    <x v="1196"/>
  </r>
  <r>
    <n v="40"/>
    <x v="1"/>
    <x v="452"/>
    <x v="1"/>
    <x v="1"/>
    <x v="2"/>
    <x v="1197"/>
  </r>
  <r>
    <n v="31"/>
    <x v="0"/>
    <x v="335"/>
    <x v="3"/>
    <x v="1"/>
    <x v="0"/>
    <x v="1198"/>
  </r>
  <r>
    <n v="37"/>
    <x v="1"/>
    <x v="200"/>
    <x v="3"/>
    <x v="1"/>
    <x v="2"/>
    <x v="1199"/>
  </r>
  <r>
    <n v="46"/>
    <x v="1"/>
    <x v="517"/>
    <x v="3"/>
    <x v="1"/>
    <x v="2"/>
    <x v="1200"/>
  </r>
  <r>
    <n v="22"/>
    <x v="1"/>
    <x v="159"/>
    <x v="0"/>
    <x v="1"/>
    <x v="2"/>
    <x v="1201"/>
  </r>
  <r>
    <n v="51"/>
    <x v="1"/>
    <x v="243"/>
    <x v="1"/>
    <x v="1"/>
    <x v="3"/>
    <x v="1202"/>
  </r>
  <r>
    <n v="18"/>
    <x v="0"/>
    <x v="518"/>
    <x v="2"/>
    <x v="0"/>
    <x v="1"/>
    <x v="1203"/>
  </r>
  <r>
    <n v="35"/>
    <x v="1"/>
    <x v="519"/>
    <x v="1"/>
    <x v="1"/>
    <x v="2"/>
    <x v="1204"/>
  </r>
  <r>
    <n v="59"/>
    <x v="0"/>
    <x v="82"/>
    <x v="3"/>
    <x v="1"/>
    <x v="0"/>
    <x v="1205"/>
  </r>
  <r>
    <n v="36"/>
    <x v="1"/>
    <x v="220"/>
    <x v="3"/>
    <x v="0"/>
    <x v="0"/>
    <x v="1206"/>
  </r>
  <r>
    <n v="37"/>
    <x v="0"/>
    <x v="122"/>
    <x v="1"/>
    <x v="0"/>
    <x v="3"/>
    <x v="1207"/>
  </r>
  <r>
    <n v="59"/>
    <x v="1"/>
    <x v="109"/>
    <x v="1"/>
    <x v="1"/>
    <x v="0"/>
    <x v="1208"/>
  </r>
  <r>
    <n v="36"/>
    <x v="1"/>
    <x v="99"/>
    <x v="1"/>
    <x v="1"/>
    <x v="2"/>
    <x v="1209"/>
  </r>
  <r>
    <n v="39"/>
    <x v="1"/>
    <x v="22"/>
    <x v="3"/>
    <x v="1"/>
    <x v="1"/>
    <x v="1210"/>
  </r>
  <r>
    <n v="18"/>
    <x v="1"/>
    <x v="321"/>
    <x v="0"/>
    <x v="1"/>
    <x v="3"/>
    <x v="1211"/>
  </r>
  <r>
    <n v="52"/>
    <x v="0"/>
    <x v="520"/>
    <x v="3"/>
    <x v="1"/>
    <x v="0"/>
    <x v="1212"/>
  </r>
  <r>
    <n v="27"/>
    <x v="0"/>
    <x v="468"/>
    <x v="1"/>
    <x v="1"/>
    <x v="2"/>
    <x v="1213"/>
  </r>
  <r>
    <n v="18"/>
    <x v="1"/>
    <x v="521"/>
    <x v="0"/>
    <x v="1"/>
    <x v="3"/>
    <x v="1214"/>
  </r>
  <r>
    <n v="40"/>
    <x v="1"/>
    <x v="322"/>
    <x v="0"/>
    <x v="1"/>
    <x v="1"/>
    <x v="1215"/>
  </r>
  <r>
    <n v="29"/>
    <x v="1"/>
    <x v="348"/>
    <x v="3"/>
    <x v="1"/>
    <x v="1"/>
    <x v="1216"/>
  </r>
  <r>
    <n v="46"/>
    <x v="0"/>
    <x v="489"/>
    <x v="1"/>
    <x v="0"/>
    <x v="0"/>
    <x v="1217"/>
  </r>
  <r>
    <n v="38"/>
    <x v="0"/>
    <x v="267"/>
    <x v="2"/>
    <x v="1"/>
    <x v="2"/>
    <x v="1218"/>
  </r>
  <r>
    <n v="30"/>
    <x v="0"/>
    <x v="522"/>
    <x v="1"/>
    <x v="1"/>
    <x v="3"/>
    <x v="1219"/>
  </r>
  <r>
    <n v="40"/>
    <x v="1"/>
    <x v="523"/>
    <x v="3"/>
    <x v="1"/>
    <x v="1"/>
    <x v="1220"/>
  </r>
  <r>
    <n v="50"/>
    <x v="1"/>
    <x v="128"/>
    <x v="0"/>
    <x v="1"/>
    <x v="1"/>
    <x v="1221"/>
  </r>
  <r>
    <n v="20"/>
    <x v="0"/>
    <x v="137"/>
    <x v="0"/>
    <x v="0"/>
    <x v="1"/>
    <x v="1222"/>
  </r>
  <r>
    <n v="41"/>
    <x v="1"/>
    <x v="524"/>
    <x v="1"/>
    <x v="1"/>
    <x v="3"/>
    <x v="1223"/>
  </r>
  <r>
    <n v="33"/>
    <x v="0"/>
    <x v="13"/>
    <x v="1"/>
    <x v="1"/>
    <x v="1"/>
    <x v="1224"/>
  </r>
  <r>
    <n v="38"/>
    <x v="1"/>
    <x v="290"/>
    <x v="3"/>
    <x v="1"/>
    <x v="3"/>
    <x v="1225"/>
  </r>
  <r>
    <n v="42"/>
    <x v="1"/>
    <x v="464"/>
    <x v="3"/>
    <x v="1"/>
    <x v="1"/>
    <x v="1226"/>
  </r>
  <r>
    <n v="56"/>
    <x v="1"/>
    <x v="53"/>
    <x v="0"/>
    <x v="1"/>
    <x v="1"/>
    <x v="1227"/>
  </r>
  <r>
    <n v="58"/>
    <x v="1"/>
    <x v="511"/>
    <x v="0"/>
    <x v="1"/>
    <x v="3"/>
    <x v="1228"/>
  </r>
  <r>
    <n v="52"/>
    <x v="1"/>
    <x v="525"/>
    <x v="2"/>
    <x v="0"/>
    <x v="2"/>
    <x v="1229"/>
  </r>
  <r>
    <n v="20"/>
    <x v="0"/>
    <x v="526"/>
    <x v="0"/>
    <x v="0"/>
    <x v="0"/>
    <x v="1230"/>
  </r>
  <r>
    <n v="54"/>
    <x v="0"/>
    <x v="456"/>
    <x v="2"/>
    <x v="1"/>
    <x v="2"/>
    <x v="1231"/>
  </r>
  <r>
    <n v="58"/>
    <x v="1"/>
    <x v="527"/>
    <x v="0"/>
    <x v="1"/>
    <x v="0"/>
    <x v="1232"/>
  </r>
  <r>
    <n v="45"/>
    <x v="0"/>
    <x v="138"/>
    <x v="3"/>
    <x v="1"/>
    <x v="1"/>
    <x v="1233"/>
  </r>
  <r>
    <n v="26"/>
    <x v="1"/>
    <x v="320"/>
    <x v="0"/>
    <x v="1"/>
    <x v="2"/>
    <x v="1234"/>
  </r>
  <r>
    <n v="63"/>
    <x v="0"/>
    <x v="496"/>
    <x v="0"/>
    <x v="1"/>
    <x v="3"/>
    <x v="1235"/>
  </r>
  <r>
    <n v="58"/>
    <x v="0"/>
    <x v="143"/>
    <x v="0"/>
    <x v="1"/>
    <x v="2"/>
    <x v="1236"/>
  </r>
  <r>
    <n v="37"/>
    <x v="1"/>
    <x v="3"/>
    <x v="2"/>
    <x v="1"/>
    <x v="3"/>
    <x v="1237"/>
  </r>
  <r>
    <n v="25"/>
    <x v="0"/>
    <x v="14"/>
    <x v="1"/>
    <x v="1"/>
    <x v="1"/>
    <x v="1238"/>
  </r>
  <r>
    <n v="52"/>
    <x v="1"/>
    <x v="423"/>
    <x v="3"/>
    <x v="0"/>
    <x v="1"/>
    <x v="1239"/>
  </r>
  <r>
    <n v="64"/>
    <x v="1"/>
    <x v="528"/>
    <x v="3"/>
    <x v="0"/>
    <x v="1"/>
    <x v="1240"/>
  </r>
  <r>
    <n v="22"/>
    <x v="0"/>
    <x v="529"/>
    <x v="2"/>
    <x v="1"/>
    <x v="2"/>
    <x v="1241"/>
  </r>
  <r>
    <n v="28"/>
    <x v="0"/>
    <x v="293"/>
    <x v="0"/>
    <x v="1"/>
    <x v="1"/>
    <x v="1242"/>
  </r>
  <r>
    <n v="18"/>
    <x v="1"/>
    <x v="230"/>
    <x v="0"/>
    <x v="1"/>
    <x v="1"/>
    <x v="1243"/>
  </r>
  <r>
    <n v="28"/>
    <x v="1"/>
    <x v="210"/>
    <x v="4"/>
    <x v="1"/>
    <x v="0"/>
    <x v="1244"/>
  </r>
  <r>
    <n v="45"/>
    <x v="0"/>
    <x v="324"/>
    <x v="2"/>
    <x v="1"/>
    <x v="0"/>
    <x v="1245"/>
  </r>
  <r>
    <n v="33"/>
    <x v="1"/>
    <x v="530"/>
    <x v="5"/>
    <x v="1"/>
    <x v="0"/>
    <x v="1246"/>
  </r>
  <r>
    <n v="18"/>
    <x v="0"/>
    <x v="13"/>
    <x v="0"/>
    <x v="1"/>
    <x v="1"/>
    <x v="1247"/>
  </r>
  <r>
    <n v="32"/>
    <x v="1"/>
    <x v="51"/>
    <x v="1"/>
    <x v="0"/>
    <x v="3"/>
    <x v="1248"/>
  </r>
  <r>
    <n v="24"/>
    <x v="1"/>
    <x v="8"/>
    <x v="0"/>
    <x v="0"/>
    <x v="3"/>
    <x v="1249"/>
  </r>
  <r>
    <n v="19"/>
    <x v="1"/>
    <x v="202"/>
    <x v="0"/>
    <x v="1"/>
    <x v="0"/>
    <x v="1250"/>
  </r>
  <r>
    <n v="20"/>
    <x v="1"/>
    <x v="531"/>
    <x v="0"/>
    <x v="0"/>
    <x v="0"/>
    <x v="1251"/>
  </r>
  <r>
    <n v="40"/>
    <x v="0"/>
    <x v="375"/>
    <x v="5"/>
    <x v="1"/>
    <x v="0"/>
    <x v="1252"/>
  </r>
  <r>
    <n v="34"/>
    <x v="0"/>
    <x v="25"/>
    <x v="0"/>
    <x v="1"/>
    <x v="1"/>
    <x v="1253"/>
  </r>
  <r>
    <n v="42"/>
    <x v="0"/>
    <x v="532"/>
    <x v="0"/>
    <x v="1"/>
    <x v="0"/>
    <x v="1254"/>
  </r>
  <r>
    <n v="51"/>
    <x v="0"/>
    <x v="241"/>
    <x v="2"/>
    <x v="1"/>
    <x v="2"/>
    <x v="1255"/>
  </r>
  <r>
    <n v="54"/>
    <x v="0"/>
    <x v="215"/>
    <x v="1"/>
    <x v="1"/>
    <x v="2"/>
    <x v="1256"/>
  </r>
  <r>
    <n v="55"/>
    <x v="1"/>
    <x v="533"/>
    <x v="2"/>
    <x v="1"/>
    <x v="2"/>
    <x v="1257"/>
  </r>
  <r>
    <n v="52"/>
    <x v="0"/>
    <x v="247"/>
    <x v="0"/>
    <x v="1"/>
    <x v="3"/>
    <x v="1258"/>
  </r>
  <r>
    <n v="32"/>
    <x v="0"/>
    <x v="481"/>
    <x v="0"/>
    <x v="1"/>
    <x v="3"/>
    <x v="1259"/>
  </r>
  <r>
    <n v="28"/>
    <x v="1"/>
    <x v="109"/>
    <x v="1"/>
    <x v="1"/>
    <x v="0"/>
    <x v="1260"/>
  </r>
  <r>
    <n v="41"/>
    <x v="0"/>
    <x v="123"/>
    <x v="1"/>
    <x v="1"/>
    <x v="1"/>
    <x v="1261"/>
  </r>
  <r>
    <n v="43"/>
    <x v="0"/>
    <x v="441"/>
    <x v="1"/>
    <x v="1"/>
    <x v="0"/>
    <x v="1262"/>
  </r>
  <r>
    <n v="49"/>
    <x v="0"/>
    <x v="150"/>
    <x v="3"/>
    <x v="1"/>
    <x v="3"/>
    <x v="1263"/>
  </r>
  <r>
    <n v="64"/>
    <x v="1"/>
    <x v="534"/>
    <x v="0"/>
    <x v="0"/>
    <x v="1"/>
    <x v="1264"/>
  </r>
  <r>
    <n v="55"/>
    <x v="0"/>
    <x v="252"/>
    <x v="0"/>
    <x v="1"/>
    <x v="0"/>
    <x v="1265"/>
  </r>
  <r>
    <n v="24"/>
    <x v="1"/>
    <x v="320"/>
    <x v="0"/>
    <x v="0"/>
    <x v="3"/>
    <x v="1266"/>
  </r>
  <r>
    <n v="20"/>
    <x v="0"/>
    <x v="520"/>
    <x v="0"/>
    <x v="1"/>
    <x v="0"/>
    <x v="1267"/>
  </r>
  <r>
    <n v="45"/>
    <x v="1"/>
    <x v="97"/>
    <x v="2"/>
    <x v="1"/>
    <x v="0"/>
    <x v="1268"/>
  </r>
  <r>
    <n v="26"/>
    <x v="1"/>
    <x v="113"/>
    <x v="1"/>
    <x v="1"/>
    <x v="2"/>
    <x v="1269"/>
  </r>
  <r>
    <n v="25"/>
    <x v="0"/>
    <x v="525"/>
    <x v="0"/>
    <x v="1"/>
    <x v="2"/>
    <x v="1270"/>
  </r>
  <r>
    <n v="43"/>
    <x v="1"/>
    <x v="535"/>
    <x v="4"/>
    <x v="1"/>
    <x v="1"/>
    <x v="1271"/>
  </r>
  <r>
    <n v="35"/>
    <x v="1"/>
    <x v="536"/>
    <x v="1"/>
    <x v="1"/>
    <x v="1"/>
    <x v="1272"/>
  </r>
  <r>
    <n v="26"/>
    <x v="1"/>
    <x v="537"/>
    <x v="0"/>
    <x v="0"/>
    <x v="1"/>
    <x v="1273"/>
  </r>
  <r>
    <n v="57"/>
    <x v="1"/>
    <x v="408"/>
    <x v="0"/>
    <x v="1"/>
    <x v="0"/>
    <x v="1274"/>
  </r>
  <r>
    <n v="22"/>
    <x v="0"/>
    <x v="257"/>
    <x v="0"/>
    <x v="1"/>
    <x v="3"/>
    <x v="1275"/>
  </r>
  <r>
    <n v="32"/>
    <x v="0"/>
    <x v="129"/>
    <x v="0"/>
    <x v="1"/>
    <x v="2"/>
    <x v="1276"/>
  </r>
  <r>
    <n v="39"/>
    <x v="1"/>
    <x v="503"/>
    <x v="1"/>
    <x v="0"/>
    <x v="3"/>
    <x v="1277"/>
  </r>
  <r>
    <n v="25"/>
    <x v="0"/>
    <x v="471"/>
    <x v="3"/>
    <x v="1"/>
    <x v="2"/>
    <x v="1278"/>
  </r>
  <r>
    <n v="48"/>
    <x v="0"/>
    <x v="230"/>
    <x v="0"/>
    <x v="1"/>
    <x v="1"/>
    <x v="1279"/>
  </r>
  <r>
    <n v="47"/>
    <x v="0"/>
    <x v="215"/>
    <x v="3"/>
    <x v="0"/>
    <x v="2"/>
    <x v="1280"/>
  </r>
  <r>
    <n v="18"/>
    <x v="0"/>
    <x v="496"/>
    <x v="0"/>
    <x v="0"/>
    <x v="3"/>
    <x v="1281"/>
  </r>
  <r>
    <n v="18"/>
    <x v="1"/>
    <x v="279"/>
    <x v="1"/>
    <x v="1"/>
    <x v="1"/>
    <x v="1282"/>
  </r>
  <r>
    <n v="61"/>
    <x v="1"/>
    <x v="29"/>
    <x v="1"/>
    <x v="0"/>
    <x v="0"/>
    <x v="1283"/>
  </r>
  <r>
    <n v="47"/>
    <x v="0"/>
    <x v="200"/>
    <x v="0"/>
    <x v="1"/>
    <x v="3"/>
    <x v="1284"/>
  </r>
  <r>
    <n v="28"/>
    <x v="0"/>
    <x v="193"/>
    <x v="0"/>
    <x v="1"/>
    <x v="3"/>
    <x v="1285"/>
  </r>
  <r>
    <n v="36"/>
    <x v="0"/>
    <x v="473"/>
    <x v="1"/>
    <x v="1"/>
    <x v="0"/>
    <x v="1286"/>
  </r>
  <r>
    <n v="20"/>
    <x v="1"/>
    <x v="538"/>
    <x v="3"/>
    <x v="0"/>
    <x v="0"/>
    <x v="1287"/>
  </r>
  <r>
    <n v="44"/>
    <x v="1"/>
    <x v="419"/>
    <x v="1"/>
    <x v="1"/>
    <x v="1"/>
    <x v="1288"/>
  </r>
  <r>
    <n v="38"/>
    <x v="0"/>
    <x v="91"/>
    <x v="3"/>
    <x v="1"/>
    <x v="3"/>
    <x v="1289"/>
  </r>
  <r>
    <n v="19"/>
    <x v="1"/>
    <x v="539"/>
    <x v="0"/>
    <x v="0"/>
    <x v="0"/>
    <x v="1290"/>
  </r>
  <r>
    <n v="21"/>
    <x v="1"/>
    <x v="174"/>
    <x v="0"/>
    <x v="1"/>
    <x v="1"/>
    <x v="1291"/>
  </r>
  <r>
    <n v="46"/>
    <x v="1"/>
    <x v="474"/>
    <x v="2"/>
    <x v="1"/>
    <x v="2"/>
    <x v="1292"/>
  </r>
  <r>
    <n v="58"/>
    <x v="1"/>
    <x v="124"/>
    <x v="0"/>
    <x v="1"/>
    <x v="3"/>
    <x v="1293"/>
  </r>
  <r>
    <n v="20"/>
    <x v="1"/>
    <x v="540"/>
    <x v="1"/>
    <x v="1"/>
    <x v="0"/>
    <x v="1294"/>
  </r>
  <r>
    <n v="18"/>
    <x v="1"/>
    <x v="388"/>
    <x v="0"/>
    <x v="1"/>
    <x v="3"/>
    <x v="1295"/>
  </r>
  <r>
    <n v="28"/>
    <x v="0"/>
    <x v="426"/>
    <x v="3"/>
    <x v="1"/>
    <x v="1"/>
    <x v="1296"/>
  </r>
  <r>
    <n v="33"/>
    <x v="1"/>
    <x v="207"/>
    <x v="3"/>
    <x v="1"/>
    <x v="2"/>
    <x v="1297"/>
  </r>
  <r>
    <n v="19"/>
    <x v="0"/>
    <x v="474"/>
    <x v="1"/>
    <x v="1"/>
    <x v="2"/>
    <x v="1298"/>
  </r>
  <r>
    <n v="45"/>
    <x v="1"/>
    <x v="541"/>
    <x v="0"/>
    <x v="0"/>
    <x v="1"/>
    <x v="1299"/>
  </r>
  <r>
    <n v="62"/>
    <x v="1"/>
    <x v="99"/>
    <x v="2"/>
    <x v="0"/>
    <x v="2"/>
    <x v="1300"/>
  </r>
  <r>
    <n v="25"/>
    <x v="0"/>
    <x v="37"/>
    <x v="1"/>
    <x v="1"/>
    <x v="0"/>
    <x v="1301"/>
  </r>
  <r>
    <n v="43"/>
    <x v="1"/>
    <x v="542"/>
    <x v="0"/>
    <x v="0"/>
    <x v="0"/>
    <x v="1302"/>
  </r>
  <r>
    <n v="42"/>
    <x v="1"/>
    <x v="456"/>
    <x v="3"/>
    <x v="0"/>
    <x v="3"/>
    <x v="1303"/>
  </r>
  <r>
    <n v="24"/>
    <x v="0"/>
    <x v="25"/>
    <x v="0"/>
    <x v="1"/>
    <x v="1"/>
    <x v="1304"/>
  </r>
  <r>
    <n v="29"/>
    <x v="0"/>
    <x v="361"/>
    <x v="0"/>
    <x v="0"/>
    <x v="3"/>
    <x v="1305"/>
  </r>
  <r>
    <n v="32"/>
    <x v="1"/>
    <x v="213"/>
    <x v="5"/>
    <x v="0"/>
    <x v="2"/>
    <x v="1306"/>
  </r>
  <r>
    <n v="25"/>
    <x v="0"/>
    <x v="204"/>
    <x v="0"/>
    <x v="0"/>
    <x v="0"/>
    <x v="1307"/>
  </r>
  <r>
    <n v="41"/>
    <x v="1"/>
    <x v="158"/>
    <x v="3"/>
    <x v="1"/>
    <x v="0"/>
    <x v="1308"/>
  </r>
  <r>
    <n v="42"/>
    <x v="1"/>
    <x v="31"/>
    <x v="1"/>
    <x v="1"/>
    <x v="2"/>
    <x v="1309"/>
  </r>
  <r>
    <n v="33"/>
    <x v="0"/>
    <x v="301"/>
    <x v="0"/>
    <x v="1"/>
    <x v="2"/>
    <x v="1310"/>
  </r>
  <r>
    <n v="34"/>
    <x v="1"/>
    <x v="470"/>
    <x v="1"/>
    <x v="1"/>
    <x v="0"/>
    <x v="1311"/>
  </r>
  <r>
    <n v="19"/>
    <x v="0"/>
    <x v="118"/>
    <x v="3"/>
    <x v="0"/>
    <x v="0"/>
    <x v="1312"/>
  </r>
  <r>
    <n v="30"/>
    <x v="0"/>
    <x v="367"/>
    <x v="2"/>
    <x v="0"/>
    <x v="2"/>
    <x v="1313"/>
  </r>
  <r>
    <n v="18"/>
    <x v="1"/>
    <x v="33"/>
    <x v="1"/>
    <x v="1"/>
    <x v="3"/>
    <x v="1314"/>
  </r>
  <r>
    <n v="19"/>
    <x v="0"/>
    <x v="272"/>
    <x v="0"/>
    <x v="1"/>
    <x v="0"/>
    <x v="1315"/>
  </r>
  <r>
    <n v="18"/>
    <x v="1"/>
    <x v="543"/>
    <x v="0"/>
    <x v="1"/>
    <x v="1"/>
    <x v="1316"/>
  </r>
  <r>
    <n v="35"/>
    <x v="1"/>
    <x v="544"/>
    <x v="5"/>
    <x v="1"/>
    <x v="3"/>
    <x v="1317"/>
  </r>
  <r>
    <n v="39"/>
    <x v="0"/>
    <x v="31"/>
    <x v="3"/>
    <x v="1"/>
    <x v="2"/>
    <x v="1318"/>
  </r>
  <r>
    <n v="31"/>
    <x v="1"/>
    <x v="320"/>
    <x v="2"/>
    <x v="1"/>
    <x v="2"/>
    <x v="1319"/>
  </r>
  <r>
    <n v="62"/>
    <x v="1"/>
    <x v="301"/>
    <x v="0"/>
    <x v="0"/>
    <x v="3"/>
    <x v="1320"/>
  </r>
  <r>
    <n v="62"/>
    <x v="1"/>
    <x v="130"/>
    <x v="0"/>
    <x v="1"/>
    <x v="1"/>
    <x v="1321"/>
  </r>
  <r>
    <n v="42"/>
    <x v="0"/>
    <x v="514"/>
    <x v="3"/>
    <x v="0"/>
    <x v="1"/>
    <x v="1322"/>
  </r>
  <r>
    <n v="31"/>
    <x v="1"/>
    <x v="63"/>
    <x v="1"/>
    <x v="1"/>
    <x v="2"/>
    <x v="1323"/>
  </r>
  <r>
    <n v="61"/>
    <x v="1"/>
    <x v="371"/>
    <x v="0"/>
    <x v="1"/>
    <x v="3"/>
    <x v="1324"/>
  </r>
  <r>
    <n v="42"/>
    <x v="0"/>
    <x v="545"/>
    <x v="0"/>
    <x v="1"/>
    <x v="3"/>
    <x v="1325"/>
  </r>
  <r>
    <n v="51"/>
    <x v="1"/>
    <x v="279"/>
    <x v="1"/>
    <x v="1"/>
    <x v="1"/>
    <x v="1326"/>
  </r>
  <r>
    <n v="23"/>
    <x v="0"/>
    <x v="432"/>
    <x v="3"/>
    <x v="1"/>
    <x v="3"/>
    <x v="1327"/>
  </r>
  <r>
    <n v="52"/>
    <x v="1"/>
    <x v="304"/>
    <x v="3"/>
    <x v="1"/>
    <x v="0"/>
    <x v="1328"/>
  </r>
  <r>
    <n v="57"/>
    <x v="0"/>
    <x v="5"/>
    <x v="3"/>
    <x v="1"/>
    <x v="1"/>
    <x v="1329"/>
  </r>
  <r>
    <n v="23"/>
    <x v="0"/>
    <x v="220"/>
    <x v="0"/>
    <x v="1"/>
    <x v="0"/>
    <x v="1330"/>
  </r>
  <r>
    <n v="52"/>
    <x v="0"/>
    <x v="546"/>
    <x v="2"/>
    <x v="1"/>
    <x v="0"/>
    <x v="1331"/>
  </r>
  <r>
    <n v="50"/>
    <x v="1"/>
    <x v="547"/>
    <x v="2"/>
    <x v="1"/>
    <x v="2"/>
    <x v="1332"/>
  </r>
  <r>
    <n v="18"/>
    <x v="0"/>
    <x v="23"/>
    <x v="0"/>
    <x v="1"/>
    <x v="3"/>
    <x v="1333"/>
  </r>
  <r>
    <n v="18"/>
    <x v="0"/>
    <x v="139"/>
    <x v="0"/>
    <x v="1"/>
    <x v="1"/>
    <x v="1334"/>
  </r>
  <r>
    <n v="21"/>
    <x v="0"/>
    <x v="335"/>
    <x v="0"/>
    <x v="1"/>
    <x v="0"/>
    <x v="1335"/>
  </r>
  <r>
    <n v="61"/>
    <x v="0"/>
    <x v="187"/>
    <x v="0"/>
    <x v="0"/>
    <x v="2"/>
    <x v="13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166D2-22EA-430A-8588-AD14CFB0664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17" firstHeaderRow="0" firstDataRow="1" firstDataCol="1"/>
  <pivotFields count="7">
    <pivotField dataField="1" showAll="0"/>
    <pivotField axis="axisRow" showAll="0">
      <items count="3">
        <item x="0"/>
        <item x="1"/>
        <item t="default"/>
      </items>
    </pivotField>
    <pivotField dataField="1" showAll="0">
      <items count="549">
        <item x="149"/>
        <item x="290"/>
        <item x="282"/>
        <item x="193"/>
        <item x="28"/>
        <item x="385"/>
        <item x="280"/>
        <item x="433"/>
        <item x="117"/>
        <item x="183"/>
        <item x="519"/>
        <item x="263"/>
        <item x="164"/>
        <item x="498"/>
        <item x="469"/>
        <item x="387"/>
        <item x="507"/>
        <item x="490"/>
        <item x="146"/>
        <item x="369"/>
        <item x="501"/>
        <item x="485"/>
        <item x="92"/>
        <item x="417"/>
        <item x="359"/>
        <item x="202"/>
        <item x="269"/>
        <item x="91"/>
        <item x="449"/>
        <item x="462"/>
        <item x="486"/>
        <item x="281"/>
        <item x="386"/>
        <item x="504"/>
        <item x="274"/>
        <item x="35"/>
        <item x="481"/>
        <item x="272"/>
        <item x="209"/>
        <item x="355"/>
        <item x="251"/>
        <item x="37"/>
        <item x="192"/>
        <item x="431"/>
        <item x="258"/>
        <item x="278"/>
        <item x="529"/>
        <item x="370"/>
        <item x="383"/>
        <item x="343"/>
        <item x="321"/>
        <item x="510"/>
        <item x="212"/>
        <item x="491"/>
        <item x="496"/>
        <item x="253"/>
        <item x="404"/>
        <item x="42"/>
        <item x="526"/>
        <item x="361"/>
        <item x="254"/>
        <item x="522"/>
        <item x="540"/>
        <item x="120"/>
        <item x="500"/>
        <item x="188"/>
        <item x="185"/>
        <item x="259"/>
        <item x="169"/>
        <item x="64"/>
        <item x="422"/>
        <item x="286"/>
        <item x="227"/>
        <item x="3"/>
        <item x="413"/>
        <item x="414"/>
        <item x="58"/>
        <item x="83"/>
        <item x="223"/>
        <item x="492"/>
        <item x="26"/>
        <item x="173"/>
        <item x="247"/>
        <item x="461"/>
        <item x="174"/>
        <item x="482"/>
        <item x="527"/>
        <item x="487"/>
        <item x="108"/>
        <item x="305"/>
        <item x="352"/>
        <item x="397"/>
        <item x="476"/>
        <item x="277"/>
        <item x="354"/>
        <item x="367"/>
        <item x="408"/>
        <item x="110"/>
        <item x="534"/>
        <item x="344"/>
        <item x="17"/>
        <item x="508"/>
        <item x="283"/>
        <item x="524"/>
        <item x="68"/>
        <item x="167"/>
        <item x="313"/>
        <item x="390"/>
        <item x="134"/>
        <item x="432"/>
        <item x="210"/>
        <item x="276"/>
        <item x="200"/>
        <item x="420"/>
        <item x="197"/>
        <item x="137"/>
        <item x="184"/>
        <item x="48"/>
        <item x="15"/>
        <item x="456"/>
        <item x="177"/>
        <item x="62"/>
        <item x="69"/>
        <item x="88"/>
        <item x="443"/>
        <item x="261"/>
        <item x="523"/>
        <item x="255"/>
        <item x="459"/>
        <item x="322"/>
        <item x="315"/>
        <item x="124"/>
        <item x="198"/>
        <item x="235"/>
        <item x="128"/>
        <item x="195"/>
        <item x="440"/>
        <item x="225"/>
        <item x="94"/>
        <item x="535"/>
        <item x="122"/>
        <item x="248"/>
        <item x="302"/>
        <item x="324"/>
        <item x="5"/>
        <item x="474"/>
        <item x="335"/>
        <item x="9"/>
        <item x="505"/>
        <item x="473"/>
        <item x="63"/>
        <item x="327"/>
        <item x="334"/>
        <item x="388"/>
        <item x="424"/>
        <item x="161"/>
        <item x="10"/>
        <item x="11"/>
        <item x="31"/>
        <item x="170"/>
        <item x="154"/>
        <item x="119"/>
        <item x="426"/>
        <item x="40"/>
        <item x="217"/>
        <item x="301"/>
        <item x="418"/>
        <item x="172"/>
        <item x="471"/>
        <item x="189"/>
        <item x="199"/>
        <item x="78"/>
        <item x="292"/>
        <item x="86"/>
        <item x="411"/>
        <item x="537"/>
        <item x="402"/>
        <item x="416"/>
        <item x="107"/>
        <item x="85"/>
        <item x="288"/>
        <item x="518"/>
        <item x="531"/>
        <item x="60"/>
        <item x="73"/>
        <item x="207"/>
        <item x="97"/>
        <item x="208"/>
        <item x="244"/>
        <item x="536"/>
        <item x="215"/>
        <item x="224"/>
        <item x="25"/>
        <item x="7"/>
        <item x="542"/>
        <item x="138"/>
        <item x="152"/>
        <item x="0"/>
        <item x="325"/>
        <item x="100"/>
        <item x="52"/>
        <item x="24"/>
        <item x="123"/>
        <item x="71"/>
        <item x="213"/>
        <item x="475"/>
        <item x="458"/>
        <item x="143"/>
        <item x="356"/>
        <item x="115"/>
        <item x="33"/>
        <item x="310"/>
        <item x="98"/>
        <item x="403"/>
        <item x="515"/>
        <item x="70"/>
        <item x="105"/>
        <item x="32"/>
        <item x="54"/>
        <item x="311"/>
        <item x="114"/>
        <item x="444"/>
        <item x="222"/>
        <item x="4"/>
        <item x="65"/>
        <item x="329"/>
        <item x="111"/>
        <item x="358"/>
        <item x="446"/>
        <item x="187"/>
        <item x="347"/>
        <item x="410"/>
        <item x="289"/>
        <item x="153"/>
        <item x="245"/>
        <item x="375"/>
        <item x="452"/>
        <item x="205"/>
        <item x="530"/>
        <item x="296"/>
        <item x="364"/>
        <item x="445"/>
        <item x="396"/>
        <item x="75"/>
        <item x="303"/>
        <item x="142"/>
        <item x="102"/>
        <item x="129"/>
        <item x="141"/>
        <item x="382"/>
        <item x="8"/>
        <item x="441"/>
        <item x="96"/>
        <item x="503"/>
        <item x="308"/>
        <item x="190"/>
        <item x="279"/>
        <item x="406"/>
        <item x="95"/>
        <item x="307"/>
        <item x="204"/>
        <item x="267"/>
        <item x="328"/>
        <item x="148"/>
        <item x="511"/>
        <item x="541"/>
        <item x="257"/>
        <item x="131"/>
        <item x="252"/>
        <item x="162"/>
        <item x="264"/>
        <item x="155"/>
        <item x="16"/>
        <item x="43"/>
        <item x="99"/>
        <item x="157"/>
        <item x="547"/>
        <item x="332"/>
        <item x="270"/>
        <item x="320"/>
        <item x="435"/>
        <item x="360"/>
        <item x="84"/>
        <item x="216"/>
        <item x="502"/>
        <item x="468"/>
        <item x="89"/>
        <item x="112"/>
        <item x="234"/>
        <item x="268"/>
        <item x="262"/>
        <item x="434"/>
        <item x="381"/>
        <item x="160"/>
        <item x="93"/>
        <item x="181"/>
        <item x="57"/>
        <item x="294"/>
        <item x="211"/>
        <item x="171"/>
        <item x="56"/>
        <item x="125"/>
        <item x="23"/>
        <item x="497"/>
        <item x="72"/>
        <item x="256"/>
        <item x="407"/>
        <item x="159"/>
        <item x="346"/>
        <item x="158"/>
        <item x="104"/>
        <item x="166"/>
        <item x="243"/>
        <item x="454"/>
        <item x="203"/>
        <item x="21"/>
        <item x="437"/>
        <item x="127"/>
        <item x="463"/>
        <item x="316"/>
        <item x="453"/>
        <item x="365"/>
        <item x="314"/>
        <item x="297"/>
        <item x="484"/>
        <item x="27"/>
        <item x="436"/>
        <item x="163"/>
        <item x="545"/>
        <item x="260"/>
        <item x="36"/>
        <item x="2"/>
        <item x="232"/>
        <item x="291"/>
        <item x="293"/>
        <item x="145"/>
        <item x="460"/>
        <item x="176"/>
        <item x="520"/>
        <item x="230"/>
        <item x="150"/>
        <item x="220"/>
        <item x="6"/>
        <item x="298"/>
        <item x="371"/>
        <item x="516"/>
        <item x="51"/>
        <item x="61"/>
        <item x="175"/>
        <item x="363"/>
        <item x="1"/>
        <item x="239"/>
        <item x="312"/>
        <item x="178"/>
        <item x="113"/>
        <item x="457"/>
        <item x="74"/>
        <item x="22"/>
        <item x="237"/>
        <item x="206"/>
        <item x="194"/>
        <item x="351"/>
        <item x="319"/>
        <item x="419"/>
        <item x="226"/>
        <item x="12"/>
        <item x="53"/>
        <item x="525"/>
        <item x="242"/>
        <item x="415"/>
        <item x="489"/>
        <item x="480"/>
        <item x="118"/>
        <item x="47"/>
        <item x="82"/>
        <item x="231"/>
        <item x="394"/>
        <item x="539"/>
        <item x="379"/>
        <item x="101"/>
        <item x="451"/>
        <item x="284"/>
        <item x="49"/>
        <item x="249"/>
        <item x="19"/>
        <item x="331"/>
        <item x="401"/>
        <item x="478"/>
        <item x="340"/>
        <item x="409"/>
        <item x="76"/>
        <item x="30"/>
        <item x="50"/>
        <item x="285"/>
        <item x="330"/>
        <item x="103"/>
        <item x="246"/>
        <item x="467"/>
        <item x="427"/>
        <item x="191"/>
        <item x="121"/>
        <item x="357"/>
        <item x="233"/>
        <item x="126"/>
        <item x="20"/>
        <item x="168"/>
        <item x="374"/>
        <item x="67"/>
        <item x="182"/>
        <item x="391"/>
        <item x="483"/>
        <item x="29"/>
        <item x="241"/>
        <item x="34"/>
        <item x="238"/>
        <item x="300"/>
        <item x="429"/>
        <item x="400"/>
        <item x="41"/>
        <item x="38"/>
        <item x="240"/>
        <item x="219"/>
        <item x="139"/>
        <item x="350"/>
        <item x="55"/>
        <item x="528"/>
        <item x="144"/>
        <item x="44"/>
        <item x="493"/>
        <item x="109"/>
        <item x="135"/>
        <item x="464"/>
        <item x="348"/>
        <item x="45"/>
        <item x="59"/>
        <item x="116"/>
        <item x="133"/>
        <item x="228"/>
        <item x="366"/>
        <item x="80"/>
        <item x="151"/>
        <item x="533"/>
        <item x="132"/>
        <item x="368"/>
        <item x="532"/>
        <item x="412"/>
        <item x="229"/>
        <item x="179"/>
        <item x="309"/>
        <item x="271"/>
        <item x="377"/>
        <item x="90"/>
        <item x="79"/>
        <item x="275"/>
        <item x="186"/>
        <item x="304"/>
        <item x="46"/>
        <item x="130"/>
        <item x="338"/>
        <item x="447"/>
        <item x="373"/>
        <item x="266"/>
        <item x="66"/>
        <item x="521"/>
        <item x="287"/>
        <item x="326"/>
        <item x="393"/>
        <item x="165"/>
        <item x="538"/>
        <item x="336"/>
        <item x="87"/>
        <item x="318"/>
        <item x="136"/>
        <item x="140"/>
        <item x="472"/>
        <item x="376"/>
        <item x="544"/>
        <item x="455"/>
        <item x="77"/>
        <item x="13"/>
        <item x="39"/>
        <item x="466"/>
        <item x="479"/>
        <item x="196"/>
        <item x="392"/>
        <item x="362"/>
        <item x="405"/>
        <item x="18"/>
        <item x="514"/>
        <item x="517"/>
        <item x="398"/>
        <item x="337"/>
        <item x="477"/>
        <item x="214"/>
        <item x="399"/>
        <item x="384"/>
        <item x="450"/>
        <item x="236"/>
        <item x="513"/>
        <item x="421"/>
        <item x="81"/>
        <item x="317"/>
        <item x="428"/>
        <item x="147"/>
        <item x="389"/>
        <item x="423"/>
        <item x="156"/>
        <item x="180"/>
        <item x="14"/>
        <item x="425"/>
        <item x="201"/>
        <item x="378"/>
        <item x="372"/>
        <item x="495"/>
        <item x="380"/>
        <item x="506"/>
        <item x="470"/>
        <item x="430"/>
        <item x="299"/>
        <item x="349"/>
        <item x="265"/>
        <item x="323"/>
        <item x="442"/>
        <item x="250"/>
        <item x="448"/>
        <item x="333"/>
        <item x="546"/>
        <item x="395"/>
        <item x="345"/>
        <item x="512"/>
        <item x="488"/>
        <item x="353"/>
        <item x="221"/>
        <item x="509"/>
        <item x="465"/>
        <item x="342"/>
        <item x="306"/>
        <item x="341"/>
        <item x="295"/>
        <item x="339"/>
        <item x="273"/>
        <item x="439"/>
        <item x="499"/>
        <item x="218"/>
        <item x="106"/>
        <item x="438"/>
        <item x="494"/>
        <item x="543"/>
        <item t="default"/>
      </items>
    </pivotField>
    <pivotField dataField="1" showAll="0">
      <items count="7">
        <item x="0"/>
        <item h="1" x="1"/>
        <item h="1" x="3"/>
        <item h="1" x="2"/>
        <item h="1" x="5"/>
        <item h="1" x="4"/>
        <item t="default"/>
      </items>
    </pivotField>
    <pivotField axis="axisRow" showAll="0">
      <items count="3">
        <item h="1" x="1"/>
        <item x="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dataField="1" showAll="0">
      <items count="1338">
        <item h="1" x="939"/>
        <item h="1" x="807"/>
        <item h="1" x="1243"/>
        <item h="1" x="662"/>
        <item h="1" x="22"/>
        <item h="1" x="194"/>
        <item h="1" x="865"/>
        <item h="1" x="780"/>
        <item h="1" x="442"/>
        <item h="1" x="1316"/>
        <item h="1" x="1250"/>
        <item h="1" x="680"/>
        <item h="1" x="583"/>
        <item h="1" x="790"/>
        <item h="1" x="487"/>
        <item h="1" x="513"/>
        <item h="1" x="136"/>
        <item h="1" x="385"/>
        <item h="1" x="722"/>
        <item h="1" x="374"/>
        <item h="1" x="1291"/>
        <item h="1" x="839"/>
        <item h="1" x="77"/>
        <item h="1" x="478"/>
        <item h="1" x="359"/>
        <item h="1" x="236"/>
        <item h="1" x="410"/>
        <item h="1" x="821"/>
        <item h="1" x="482"/>
        <item h="1" x="35"/>
        <item h="1" x="746"/>
        <item h="1" x="942"/>
        <item h="1" x="1334"/>
        <item h="1" x="399"/>
        <item h="1" x="181"/>
        <item h="1" x="464"/>
        <item h="1" x="133"/>
        <item h="1" x="599"/>
        <item h="1" x="1247"/>
        <item h="1" x="897"/>
        <item h="1" x="349"/>
        <item h="1" x="195"/>
        <item h="1" x="559"/>
        <item h="1" x="576"/>
        <item h="1" x="1096"/>
        <item h="1" x="887"/>
        <item h="1" x="172"/>
        <item h="1" x="1211"/>
        <item h="1" x="295"/>
        <item h="1" x="1040"/>
        <item h="1" x="121"/>
        <item h="1" x="529"/>
        <item h="1" x="1295"/>
        <item h="1" x="1022"/>
        <item h="1" x="647"/>
        <item h="1" x="270"/>
        <item h="1" x="1282"/>
        <item h="1" x="1"/>
        <item h="1" x="709"/>
        <item h="1" x="232"/>
        <item h="1" x="1128"/>
        <item h="1" x="1315"/>
        <item h="1" x="311"/>
        <item h="1" x="65"/>
        <item h="1" x="472"/>
        <item h="1" x="490"/>
        <item h="1" x="972"/>
        <item h="1" x="453"/>
        <item h="1" x="803"/>
        <item h="1" x="479"/>
        <item h="1" x="12"/>
        <item h="1" x="248"/>
        <item h="1" x="15"/>
        <item h="1" x="358"/>
        <item h="1" x="149"/>
        <item h="1" x="854"/>
        <item h="1" x="814"/>
        <item h="1" x="613"/>
        <item h="1" x="1267"/>
        <item h="1" x="750"/>
        <item h="1" x="1071"/>
        <item h="1" x="786"/>
        <item h="1" x="1294"/>
        <item h="1" x="495"/>
        <item h="1" x="452"/>
        <item h="1" x="1001"/>
        <item h="1" x="630"/>
        <item h="1" x="210"/>
        <item h="1" x="1059"/>
        <item h="1" x="712"/>
        <item h="1" x="247"/>
        <item h="1" x="1335"/>
        <item h="1" x="1024"/>
        <item h="1" x="699"/>
        <item h="1" x="90"/>
        <item h="1" x="137"/>
        <item h="1" x="1201"/>
        <item h="1" x="1076"/>
        <item h="1" x="801"/>
        <item h="1" x="689"/>
        <item h="1" x="898"/>
        <item h="1" x="565"/>
        <item h="1" x="200"/>
        <item h="1" x="414"/>
        <item h="1" x="806"/>
        <item h="1" x="192"/>
        <item h="1" x="391"/>
        <item h="1" x="277"/>
        <item h="1" x="1174"/>
        <item h="1" x="135"/>
        <item h="1" x="293"/>
        <item h="1" x="139"/>
        <item h="1" x="492"/>
        <item h="1" x="31"/>
        <item h="1" x="1162"/>
        <item h="1" x="469"/>
        <item h="1" x="471"/>
        <item h="1" x="1149"/>
        <item h="1" x="1333"/>
        <item h="1" x="611"/>
        <item h="1" x="50"/>
        <item h="1" x="941"/>
        <item h="1" x="727"/>
        <item h="1" x="571"/>
        <item h="1" x="896"/>
        <item h="1" x="1037"/>
        <item h="1" x="436"/>
        <item h="1" x="122"/>
        <item h="1" x="1146"/>
        <item h="1" x="37"/>
        <item h="1" x="937"/>
        <item h="1" x="973"/>
        <item h="1" x="106"/>
        <item h="1" x="692"/>
        <item h="1" x="691"/>
        <item h="1" x="17"/>
        <item h="1" x="1113"/>
        <item h="1" x="113"/>
        <item h="1" x="760"/>
        <item h="1" x="846"/>
        <item h="1" x="134"/>
        <item h="1" x="713"/>
        <item h="1" x="1157"/>
        <item h="1" x="1304"/>
        <item h="1" x="914"/>
        <item h="1" x="1057"/>
        <item h="1" x="217"/>
        <item h="1" x="562"/>
        <item h="1" x="470"/>
        <item h="1" x="511"/>
        <item h="1" x="274"/>
        <item h="1" x="971"/>
        <item h="1" x="477"/>
        <item h="1" x="591"/>
        <item h="1" x="679"/>
        <item h="1" x="881"/>
        <item h="1" x="363"/>
        <item h="1" x="1181"/>
        <item h="1" x="909"/>
        <item h="1" x="506"/>
        <item h="1" x="820"/>
        <item h="1" x="226"/>
        <item h="1" x="874"/>
        <item h="1" x="1234"/>
        <item h="1" x="635"/>
        <item h="1" x="1015"/>
        <item h="1" x="1298"/>
        <item h="1" x="168"/>
        <item h="1" x="10"/>
        <item h="1" x="423"/>
        <item h="1" x="959"/>
        <item h="1" x="791"/>
        <item h="1" x="1275"/>
        <item h="1" x="78"/>
        <item h="1" x="28"/>
        <item h="1" x="880"/>
        <item h="1" x="564"/>
        <item h="1" x="276"/>
        <item h="1" x="815"/>
        <item h="1" x="1180"/>
        <item h="1" x="174"/>
        <item h="1" x="324"/>
        <item h="1" x="108"/>
        <item h="1" x="439"/>
        <item h="1" x="1177"/>
        <item h="1" x="976"/>
        <item h="1" x="1107"/>
        <item h="1" x="925"/>
        <item h="1" x="929"/>
        <item h="1" x="847"/>
        <item h="1" x="1270"/>
        <item h="1" x="508"/>
        <item h="1" x="40"/>
        <item h="1" x="541"/>
        <item h="1" x="748"/>
        <item h="1" x="762"/>
        <item h="1" x="507"/>
        <item h="1" x="1042"/>
        <item h="1" x="428"/>
        <item h="1" x="1242"/>
        <item h="1" x="290"/>
        <item h="1" x="1136"/>
        <item h="1" x="388"/>
        <item h="1" x="364"/>
        <item h="1" x="694"/>
        <item h="1" x="579"/>
        <item h="1" x="1301"/>
        <item h="1" x="548"/>
        <item h="1" x="1098"/>
        <item h="1" x="1238"/>
        <item h="1" x="404"/>
        <item h="1" x="546"/>
        <item h="1" x="1260"/>
        <item h="1" x="967"/>
        <item h="1" x="1269"/>
        <item h="1" x="808"/>
        <item h="1" x="960"/>
        <item h="1" x="1053"/>
        <item h="1" x="631"/>
        <item h="1" x="989"/>
        <item h="1" x="125"/>
        <item h="1" x="870"/>
        <item h="1" x="218"/>
        <item h="1" x="46"/>
        <item h="1" x="655"/>
        <item h="1" x="879"/>
        <item h="1" x="1101"/>
        <item h="1" x="369"/>
        <item h="1" x="736"/>
        <item h="1" x="141"/>
        <item h="1" x="698"/>
        <item h="1" x="212"/>
        <item h="1" x="352"/>
        <item h="1" x="47"/>
        <item h="1" x="605"/>
        <item h="1" x="326"/>
        <item h="1" x="693"/>
        <item h="1" x="51"/>
        <item h="1" x="1091"/>
        <item h="1" x="1047"/>
        <item h="1" x="816"/>
        <item h="1" x="101"/>
        <item h="1" x="619"/>
        <item h="1" x="1130"/>
        <item h="1" x="1137"/>
        <item h="1" x="1285"/>
        <item h="1" x="624"/>
        <item h="1" x="5"/>
        <item h="1" x="742"/>
        <item h="1" x="570"/>
        <item h="1" x="95"/>
        <item h="1" x="555"/>
        <item h="1" x="519"/>
        <item h="1" x="585"/>
        <item h="1" x="4"/>
        <item h="1" x="954"/>
        <item h="1" x="107"/>
        <item h="1" x="294"/>
        <item h="1" x="759"/>
        <item h="1" x="557"/>
        <item h="1" x="670"/>
        <item h="1" x="76"/>
        <item h="1" x="1213"/>
        <item h="1" x="551"/>
        <item h="1" x="186"/>
        <item h="1" x="1016"/>
        <item h="1" x="1158"/>
        <item h="1" x="521"/>
        <item h="1" x="182"/>
        <item h="1" x="451"/>
        <item h="1" x="249"/>
        <item h="1" x="1216"/>
        <item h="1" x="656"/>
        <item h="1" x="409"/>
        <item h="1" x="1082"/>
        <item h="1" x="63"/>
        <item h="1" x="1193"/>
        <item h="1" x="1031"/>
        <item h="1" x="21"/>
        <item h="1" x="307"/>
        <item h="1" x="406"/>
        <item h="1" x="1278"/>
        <item h="1" x="731"/>
        <item h="1" x="282"/>
        <item h="1" x="1323"/>
        <item h="1" x="434"/>
        <item h="1" x="253"/>
        <item h="1" x="795"/>
        <item h="1" x="1241"/>
        <item h="1" x="922"/>
        <item h="1" x="205"/>
        <item h="1" x="1296"/>
        <item h="1" x="485"/>
        <item h="1" x="303"/>
        <item h="1" x="783"/>
        <item h="1" x="1276"/>
        <item h="1" x="868"/>
        <item h="1" x="671"/>
        <item h="1" x="835"/>
        <item h="1" x="1253"/>
        <item h="1" x="812"/>
        <item h="1" x="1004"/>
        <item h="1" x="1173"/>
        <item h="1" x="607"/>
        <item h="1" x="1005"/>
        <item h="1" x="80"/>
        <item h="1" x="2"/>
        <item h="1" x="1080"/>
        <item h="1" x="1058"/>
        <item h="1" x="237"/>
        <item h="1" x="642"/>
        <item h="1" x="980"/>
        <item h="1" x="61"/>
        <item h="1" x="987"/>
        <item h="1" x="951"/>
        <item h="1" x="1166"/>
        <item h="1" x="1311"/>
        <item h="1" x="1259"/>
        <item h="1" x="1094"/>
        <item h="1" x="1074"/>
        <item h="1" x="904"/>
        <item h="1" x="1310"/>
        <item h="1" x="389"/>
        <item h="1" x="112"/>
        <item h="1" x="901"/>
        <item h="1" x="319"/>
        <item h="1" x="1167"/>
        <item h="1" x="933"/>
        <item h="1" x="454"/>
        <item h="1" x="32"/>
        <item h="1" x="1219"/>
        <item h="1" x="796"/>
        <item h="1" x="831"/>
        <item h="1" x="440"/>
        <item h="1" x="964"/>
        <item h="1" x="1272"/>
        <item h="1" x="361"/>
        <item h="1" x="572"/>
        <item h="1" x="449"/>
        <item h="1" x="683"/>
        <item h="1" x="584"/>
        <item h="1" x="1224"/>
        <item h="1" x="169"/>
        <item h="1" x="166"/>
        <item h="1" x="669"/>
        <item h="1" x="905"/>
        <item h="1" x="883"/>
        <item h="1" x="191"/>
        <item h="1" x="978"/>
        <item h="1" x="346"/>
        <item h="1" x="320"/>
        <item h="1" x="431"/>
        <item h="1" x="983"/>
        <item h="1" x="189"/>
        <item h="1" x="496"/>
        <item h="1" x="1198"/>
        <item h="1" x="41"/>
        <item h="1" x="970"/>
        <item h="1" x="213"/>
        <item h="1" x="104"/>
        <item h="1" x="220"/>
        <item h="1" x="164"/>
        <item h="1" x="754"/>
        <item h="1" x="413"/>
        <item h="1" x="1204"/>
        <item h="1" x="1160"/>
        <item h="1" x="150"/>
        <item h="1" x="145"/>
        <item h="1" x="661"/>
        <item h="1" x="163"/>
        <item h="1" x="787"/>
        <item h="1" x="1164"/>
        <item h="1" x="518"/>
        <item h="1" x="918"/>
        <item h="1" x="173"/>
        <item h="1" x="222"/>
        <item h="1" x="913"/>
        <item h="1" x="1297"/>
        <item h="1" x="830"/>
        <item h="1" x="998"/>
        <item h="1" x="886"/>
        <item h="1" x="1112"/>
        <item h="1" x="187"/>
        <item h="1" x="1189"/>
        <item h="1" x="241"/>
        <item h="1" x="1209"/>
        <item h="1" x="704"/>
        <item h="1" x="833"/>
        <item h="1" x="1013"/>
        <item h="1" x="702"/>
        <item h="1" x="523"/>
        <item h="1" x="257"/>
        <item h="1" x="1215"/>
        <item h="1" x="1319"/>
        <item h="1" x="757"/>
        <item h="1" x="686"/>
        <item h="1" x="862"/>
        <item h="1" x="708"/>
        <item h="1" x="1286"/>
        <item h="1" x="348"/>
        <item h="1" x="992"/>
        <item h="1" x="921"/>
        <item h="1" x="813"/>
        <item h="1" x="596"/>
        <item h="1" x="1244"/>
        <item h="1" x="1152"/>
        <item h="1" x="196"/>
        <item h="1" x="789"/>
        <item h="1" x="1118"/>
        <item h="1" x="1196"/>
        <item h="1" x="1063"/>
        <item h="1" x="593"/>
        <item h="1" x="93"/>
        <item h="1" x="1066"/>
        <item h="1" x="1126"/>
        <item h="1" x="383"/>
        <item h="1" x="1081"/>
        <item h="1" x="448"/>
        <item h="1" x="68"/>
        <item h="1" x="437"/>
        <item h="1" x="777"/>
        <item h="1" x="871"/>
        <item h="1" x="432"/>
        <item h="1" x="536"/>
        <item h="1" x="504"/>
        <item h="1" x="588"/>
        <item h="1" x="1148"/>
        <item h="1" x="59"/>
        <item h="1" x="1246"/>
        <item h="1" x="535"/>
        <item h="1" x="44"/>
        <item h="1" x="129"/>
        <item h="1" x="1168"/>
        <item h="1" x="707"/>
        <item h="1" x="828"/>
        <item h="1" x="645"/>
        <item h="1" x="167"/>
        <item h="1" x="345"/>
        <item h="1" x="672"/>
        <item h="1" x="100"/>
        <item h="1" x="540"/>
        <item h="1" x="1199"/>
        <item h="1" x="24"/>
        <item h="1" x="930"/>
        <item h="1" x="923"/>
        <item h="1" x="42"/>
        <item h="1" x="877"/>
        <item h="1" x="928"/>
        <item h="1" x="878"/>
        <item h="1" x="43"/>
        <item h="1" x="152"/>
        <item h="1" x="1142"/>
        <item h="1" x="581"/>
        <item h="1" x="947"/>
        <item h="1" x="810"/>
        <item h="1" x="566"/>
        <item h="1" x="67"/>
        <item h="1" x="1197"/>
        <item h="1" x="837"/>
        <item h="1" x="8"/>
        <item h="1" x="784"/>
        <item h="1" x="659"/>
        <item h="1" x="176"/>
        <item h="1" x="1172"/>
        <item h="1" x="1254"/>
        <item h="1" x="1176"/>
        <item h="1" x="668"/>
        <item h="1" x="1062"/>
        <item h="1" x="997"/>
        <item h="1" x="426"/>
        <item h="1" x="79"/>
        <item h="1" x="610"/>
        <item h="1" x="1220"/>
        <item h="1" x="325"/>
        <item h="1" x="864"/>
        <item h="1" x="209"/>
        <item h="1" x="1225"/>
        <item h="1" x="408"/>
        <item h="1" x="876"/>
        <item h="1" x="725"/>
        <item h="1" x="639"/>
        <item h="1" x="119"/>
        <item h="1" x="234"/>
        <item h="1" x="300"/>
        <item h="1" x="625"/>
        <item h="1" x="612"/>
        <item h="1" x="1261"/>
        <item h="1" x="188"/>
        <item h="1" x="728"/>
        <item h="1" x="505"/>
        <item h="1" x="71"/>
        <item h="1" x="501"/>
        <item h="1" x="872"/>
        <item h="1" x="1223"/>
        <item h="1" x="1308"/>
        <item h="1" x="1028"/>
        <item h="1" x="768"/>
        <item h="1" x="1309"/>
        <item h="1" x="155"/>
        <item h="1" x="1237"/>
        <item h="1" x="775"/>
        <item h="1" x="1064"/>
        <item h="1" x="799"/>
        <item h="1" x="1325"/>
        <item h="1" x="766"/>
        <item h="1" x="154"/>
        <item h="1" x="1289"/>
        <item h="1" x="990"/>
        <item h="1" x="204"/>
        <item h="1" x="1288"/>
        <item h="1" x="860"/>
        <item h="1" x="239"/>
        <item h="1" x="1163"/>
        <item h="1" x="945"/>
        <item h="1" x="834"/>
        <item h="1" x="1226"/>
        <item h="1" x="632"/>
        <item h="1" x="243"/>
        <item h="1" x="1318"/>
        <item h="1" x="793"/>
        <item h="1" x="674"/>
        <item h="1" x="1154"/>
        <item h="1" x="890"/>
        <item h="1" x="567"/>
        <item h="1" x="773"/>
        <item h="1" x="272"/>
        <item h="1" x="7"/>
        <item h="1" x="427"/>
        <item h="1" x="1045"/>
        <item h="1" x="1262"/>
        <item h="1" x="445"/>
        <item h="1" x="415"/>
        <item h="1" x="932"/>
        <item h="1" x="228"/>
        <item h="1" x="215"/>
        <item h="1" x="995"/>
        <item h="1" x="183"/>
        <item h="1" x="318"/>
        <item h="1" x="268"/>
        <item h="1" x="597"/>
        <item h="1" x="230"/>
        <item h="1" x="819"/>
        <item h="1" x="776"/>
        <item h="1" x="450"/>
        <item h="1" x="966"/>
        <item h="1" x="395"/>
        <item h="1" x="1218"/>
        <item h="1" x="1135"/>
        <item h="1" x="984"/>
        <item h="1" x="912"/>
        <item h="1" x="906"/>
        <item h="1" x="372"/>
        <item h="1" x="595"/>
        <item h="1" x="1179"/>
        <item h="1" x="459"/>
        <item h="1" x="74"/>
        <item h="1" x="1159"/>
        <item h="1" x="685"/>
        <item h="1" x="184"/>
        <item h="1" x="804"/>
        <item h="1" x="120"/>
        <item h="1" x="285"/>
        <item h="1" x="309"/>
        <item h="1" x="151"/>
        <item h="1" x="975"/>
        <item h="1" x="81"/>
        <item h="1" x="1140"/>
        <item h="1" x="755"/>
        <item h="1" x="994"/>
        <item h="1" x="367"/>
        <item h="1" x="1049"/>
        <item h="1" x="88"/>
        <item h="1" x="497"/>
        <item h="1" x="54"/>
        <item h="1" x="765"/>
        <item h="1" x="690"/>
        <item h="1" x="401"/>
        <item h="1" x="368"/>
        <item h="1" x="171"/>
        <item h="1" x="313"/>
        <item h="1" x="902"/>
        <item h="1" x="211"/>
        <item h="1" x="498"/>
        <item h="1" x="822"/>
        <item h="1" x="339"/>
        <item h="1" x="538"/>
        <item h="1" x="6"/>
        <item h="1" x="646"/>
        <item h="1" x="1009"/>
        <item h="1" x="1055"/>
        <item h="1" x="651"/>
        <item h="1" x="1279"/>
        <item h="1" x="384"/>
        <item h="1" x="711"/>
        <item h="1" x="347"/>
        <item h="1" x="556"/>
        <item h="1" x="528"/>
        <item h="1" x="1120"/>
        <item h="1" x="985"/>
        <item h="1" x="517"/>
        <item h="1" x="590"/>
        <item h="1" x="1221"/>
        <item h="1" x="310"/>
        <item h="1" x="869"/>
        <item h="1" x="1233"/>
        <item h="1" x="197"/>
        <item h="1" x="214"/>
        <item h="1" x="396"/>
        <item h="1" x="652"/>
        <item h="1" x="1284"/>
        <item h="1" x="179"/>
        <item h="1" x="407"/>
        <item h="1" x="609"/>
        <item h="1" x="1075"/>
        <item h="1" x="747"/>
        <item h="1" x="1023"/>
        <item h="1" x="1129"/>
        <item h="1" x="968"/>
        <item h="1" x="118"/>
        <item h="1" x="1184"/>
        <item h="1" x="739"/>
        <item h="1" x="1108"/>
        <item h="1" x="60"/>
        <item h="1" x="1268"/>
        <item h="1" x="1003"/>
        <item h="1" x="1192"/>
        <item h="1" x="899"/>
        <item h="1" x="665"/>
        <item h="1" x="1200"/>
        <item h="1" x="1012"/>
        <item h="1" x="863"/>
        <item h="1" x="1019"/>
        <item h="1" x="178"/>
        <item h="1" x="594"/>
        <item h="1" x="537"/>
        <item h="1" x="743"/>
        <item h="1" x="316"/>
        <item h="1" x="201"/>
        <item h="1" x="873"/>
        <item h="1" x="703"/>
        <item h="1" x="351"/>
        <item h="1" x="356"/>
        <item h="1" x="392"/>
        <item h="1" x="936"/>
        <item h="1" x="424"/>
        <item h="1" x="1065"/>
        <item h="1" x="1105"/>
        <item h="1" x="1139"/>
        <item h="1" x="563"/>
        <item h="1" x="763"/>
        <item h="1" x="1245"/>
        <item h="1" x="416"/>
        <item h="1" x="329"/>
        <item h="1" x="600"/>
        <item h="1" x="621"/>
        <item h="1" x="560"/>
        <item h="1" x="1115"/>
        <item h="1" x="229"/>
        <item h="1" x="299"/>
        <item h="1" x="400"/>
        <item h="1" x="269"/>
        <item h="1" x="604"/>
        <item h="1" x="1051"/>
        <item h="1" x="393"/>
        <item h="1" x="1292"/>
        <item h="1" x="481"/>
        <item h="1" x="512"/>
        <item h="1" x="1326"/>
        <item h="1" x="781"/>
        <item h="1" x="633"/>
        <item h="1" x="394"/>
        <item h="1" x="809"/>
        <item h="1" x="286"/>
        <item h="1" x="732"/>
        <item h="1" x="1182"/>
        <item h="1" x="938"/>
        <item h="1" x="962"/>
        <item h="1" x="701"/>
        <item h="1" x="700"/>
        <item h="1" x="940"/>
        <item h="1" x="484"/>
        <item h="1" x="715"/>
        <item h="1" x="734"/>
        <item h="1" x="273"/>
        <item h="1" x="357"/>
        <item h="1" x="284"/>
        <item h="1" x="1143"/>
        <item h="1" x="127"/>
        <item h="1" x="198"/>
        <item h="1" x="977"/>
        <item h="1" x="275"/>
        <item h="1" x="315"/>
        <item h="1" x="578"/>
        <item h="1" x="1087"/>
        <item h="1" x="365"/>
        <item h="1" x="425"/>
        <item h="1" x="649"/>
        <item h="1" x="1027"/>
        <item h="1" x="279"/>
        <item h="1" x="527"/>
        <item h="1" x="682"/>
        <item h="1" x="522"/>
        <item h="1" x="778"/>
        <item h="1" x="845"/>
        <item h="1" x="719"/>
        <item h="1" x="147"/>
        <item h="1" x="483"/>
        <item h="1" x="744"/>
        <item h="1" x="1008"/>
        <item h="1" x="1202"/>
        <item h="1" x="1132"/>
        <item h="1" x="360"/>
        <item h="1" x="730"/>
        <item h="1" x="843"/>
        <item h="1" x="629"/>
        <item h="1" x="931"/>
        <item h="1" x="723"/>
        <item h="1" x="710"/>
        <item h="1" x="124"/>
        <item h="1" x="991"/>
        <item h="1" x="644"/>
        <item h="1" x="678"/>
        <item h="1" x="1258"/>
        <item h="1" x="1125"/>
        <item h="1" x="97"/>
        <item h="1" x="544"/>
        <item h="1" x="706"/>
        <item h="1" x="403"/>
        <item h="1" x="1328"/>
        <item h="1" x="1104"/>
        <item h="1" x="216"/>
        <item h="1" x="1263"/>
        <item h="1" x="460"/>
        <item h="1" x="165"/>
        <item h="1" x="891"/>
        <item h="1" x="317"/>
        <item h="1" x="177"/>
        <item h="1" x="162"/>
        <item h="1" x="489"/>
        <item h="1" x="1106"/>
        <item h="1" x="774"/>
        <item h="1" x="221"/>
        <item h="1" x="1088"/>
        <item h="1" x="650"/>
        <item h="1" x="1227"/>
        <item h="1" x="1054"/>
        <item h="1" x="1332"/>
        <item h="1" x="458"/>
        <item h="1" x="848"/>
        <item h="1" x="18"/>
        <item h="1" x="969"/>
        <item h="1" x="1265"/>
        <item h="1" x="618"/>
        <item h="1" x="390"/>
        <item h="1" x="1147"/>
        <item h="1" x="1330"/>
        <item h="1" x="1085"/>
        <item h="1" x="16"/>
        <item h="1" x="1212"/>
        <item h="1" x="1114"/>
        <item h="1" x="110"/>
        <item h="1" x="717"/>
        <item h="1" x="561"/>
        <item h="1" x="1068"/>
        <item h="1" x="91"/>
        <item h="1" x="1274"/>
        <item h="1" x="148"/>
        <item h="1" x="858"/>
        <item h="1" x="697"/>
        <item h="1" x="344"/>
        <item h="1" x="1165"/>
        <item h="1" x="811"/>
        <item h="1" x="1153"/>
        <item h="1" x="83"/>
        <item h="1" x="601"/>
        <item h="1" x="87"/>
        <item h="1" x="89"/>
        <item h="1" x="1134"/>
        <item h="1" x="13"/>
        <item h="1" x="1171"/>
        <item h="1" x="770"/>
        <item h="1" x="132"/>
        <item h="1" x="463"/>
        <item h="1" x="553"/>
        <item h="1" x="684"/>
        <item h="1" x="1100"/>
        <item h="1" x="720"/>
        <item h="1" x="1314"/>
        <item h="1" x="1090"/>
        <item h="1" x="1144"/>
        <item h="1" x="1093"/>
        <item h="1" x="1256"/>
        <item h="1" x="626"/>
        <item h="1" x="1232"/>
        <item h="1" x="1086"/>
        <item h="1" x="75"/>
        <item h="1" x="515"/>
        <item h="1" x="1102"/>
        <item h="1" x="627"/>
        <item h="1" x="116"/>
        <item h="1" x="1043"/>
        <item h="1" x="405"/>
        <item h="1" x="1331"/>
        <item h="1" x="1255"/>
        <item h="1" x="447"/>
        <item h="1" x="509"/>
        <item h="1" x="525"/>
        <item h="1" x="114"/>
        <item h="1" x="1109"/>
        <item h="1" x="258"/>
        <item h="1" x="949"/>
        <item h="1" x="547"/>
        <item h="1" x="568"/>
        <item h="1" x="1060"/>
        <item h="1" x="323"/>
        <item h="1" x="866"/>
        <item h="1" x="836"/>
        <item h="1" x="615"/>
        <item h="1" x="333"/>
        <item h="1" x="944"/>
        <item h="1" x="852"/>
        <item h="1" x="180"/>
        <item h="1" x="745"/>
        <item h="1" x="72"/>
        <item h="1" x="206"/>
        <item h="1" x="832"/>
        <item h="1" x="510"/>
        <item h="1" x="350"/>
        <item h="1" x="752"/>
        <item h="1" x="260"/>
        <item h="1" x="457"/>
        <item h="1" x="589"/>
        <item h="1" x="764"/>
        <item h="1" x="797"/>
        <item h="1" x="386"/>
        <item h="1" x="283"/>
        <item h="1" x="111"/>
        <item h="1" x="456"/>
        <item h="1" x="1079"/>
        <item h="1" x="1293"/>
        <item h="1" x="1228"/>
        <item h="1" x="308"/>
        <item h="1" x="888"/>
        <item h="1" x="73"/>
        <item h="1" x="225"/>
        <item h="1" x="371"/>
        <item h="1" x="926"/>
        <item h="1" x="193"/>
        <item h="1" x="1034"/>
        <item h="1" x="1072"/>
        <item h="1" x="96"/>
        <item h="1" x="1014"/>
        <item h="1" x="623"/>
        <item h="1" x="336"/>
        <item h="1" x="714"/>
        <item h="1" x="575"/>
        <item h="1" x="1236"/>
        <item h="1" x="718"/>
        <item h="1" x="934"/>
        <item h="1" x="1150"/>
        <item h="1" x="653"/>
        <item h="1" x="302"/>
        <item h="1" x="27"/>
        <item h="1" x="861"/>
        <item h="1" x="840"/>
        <item h="1" x="233"/>
        <item h="1" x="1208"/>
        <item h="1" x="677"/>
        <item h="1" x="353"/>
        <item h="1" x="648"/>
        <item h="1" x="486"/>
        <item h="1" x="1231"/>
        <item h="1" x="675"/>
        <item h="1" x="1017"/>
        <item h="1" x="823"/>
        <item h="1" x="190"/>
        <item h="1" x="493"/>
        <item h="1" x="438"/>
        <item h="1" x="956"/>
        <item h="1" x="838"/>
        <item h="1" x="1329"/>
        <item h="1" x="48"/>
        <item h="1" x="433"/>
        <item h="1" x="467"/>
        <item h="1" x="903"/>
        <item h="1" x="304"/>
        <item h="1" x="246"/>
        <item h="1" x="446"/>
        <item h="1" x="785"/>
        <item h="1" x="771"/>
        <item h="1" x="130"/>
        <item x="250"/>
        <item h="1" x="1214"/>
        <item h="1" x="580"/>
        <item h="1" x="532"/>
        <item h="1" x="278"/>
        <item h="1" x="638"/>
        <item h="1" x="1033"/>
        <item h="1" x="552"/>
        <item h="1" x="721"/>
        <item h="1" x="1321"/>
        <item h="1" x="943"/>
        <item h="1" x="202"/>
        <item h="1" x="1191"/>
        <item h="1" x="917"/>
        <item h="1" x="255"/>
        <item h="1" x="894"/>
        <item h="1" x="716"/>
        <item h="1" x="1188"/>
        <item h="1" x="867"/>
        <item h="1" x="1324"/>
        <item h="1" x="641"/>
        <item h="1" x="1073"/>
        <item h="1" x="342"/>
        <item h="1" x="574"/>
        <item h="1" x="466"/>
        <item h="1" x="20"/>
        <item h="1" x="341"/>
        <item h="1" x="550"/>
        <item h="1" x="829"/>
        <item h="1" x="170"/>
        <item h="1" x="370"/>
        <item h="1" x="332"/>
        <item h="1" x="366"/>
        <item h="1" x="919"/>
        <item h="1" x="788"/>
        <item h="1" x="920"/>
        <item h="1" x="927"/>
        <item h="1" x="499"/>
        <item h="1" x="893"/>
        <item h="1" x="56"/>
        <item h="1" x="131"/>
        <item h="1" x="587"/>
        <item h="1" x="1190"/>
        <item h="1" x="1032"/>
        <item h="1" x="33"/>
        <item h="1" x="335"/>
        <item h="1" x="534"/>
        <item h="1" x="362"/>
        <item h="1" x="1186"/>
        <item h="1" x="208"/>
        <item h="1" x="542"/>
        <item h="1" x="996"/>
        <item h="1" x="435"/>
        <item h="1" x="337"/>
        <item h="1" x="1070"/>
        <item h="1" x="343"/>
        <item h="1" x="25"/>
        <item h="1" x="231"/>
        <item h="1" x="733"/>
        <item h="1" x="531"/>
        <item h="1" x="850"/>
        <item h="1" x="354"/>
        <item h="1" x="751"/>
        <item h="1" x="66"/>
        <item h="1" x="1124"/>
        <item h="1" x="287"/>
        <item h="1" x="1281"/>
        <item h="1" x="800"/>
        <item h="1" x="767"/>
        <item h="1" x="1067"/>
        <item h="1" x="1127"/>
        <item h="1" x="911"/>
        <item h="1" x="658"/>
        <item h="1" x="1050"/>
        <item h="1" x="634"/>
        <item h="1" x="418"/>
        <item h="1" x="1156"/>
        <item h="1" x="1235"/>
        <item h="1" x="26"/>
        <item h="1" x="412"/>
        <item h="1" x="961"/>
        <item h="1" x="1271"/>
        <item h="1" x="988"/>
        <item h="1" x="267"/>
        <item h="1" x="402"/>
        <item h="1" x="64"/>
        <item h="1" x="199"/>
        <item h="1" x="398"/>
        <item h="1" x="380"/>
        <item h="1" x="1083"/>
        <item h="1" x="1078"/>
        <item h="1" x="907"/>
        <item h="1" x="462"/>
        <item h="1" x="592"/>
        <item h="1" x="157"/>
        <item h="1" x="480"/>
        <item h="1" x="36"/>
        <item h="1" x="856"/>
        <item h="1" x="99"/>
        <item h="1" x="1252"/>
        <item h="1" x="824"/>
        <item h="1" x="602"/>
        <item h="1" x="1305"/>
        <item h="1" x="974"/>
        <item h="1" x="1251"/>
        <item h="1" x="296"/>
        <item h="1" x="993"/>
        <item h="1" x="1025"/>
        <item h="1" x="378"/>
        <item h="1" x="70"/>
        <item h="1" x="397"/>
        <item h="1" x="726"/>
        <item h="1" x="1099"/>
        <item h="1" x="982"/>
        <item h="1" x="0"/>
        <item h="1" x="1273"/>
        <item h="1" x="126"/>
        <item h="1" x="261"/>
        <item h="1" x="753"/>
        <item h="1" x="1169"/>
        <item h="1" x="266"/>
        <item h="1" x="238"/>
        <item h="1" x="999"/>
        <item h="1" x="603"/>
        <item h="1" x="908"/>
        <item h="1" x="105"/>
        <item h="1" x="582"/>
        <item h="1" x="69"/>
        <item h="1" x="772"/>
        <item h="1" x="554"/>
        <item h="1" x="798"/>
        <item h="1" x="1056"/>
        <item h="1" x="494"/>
        <item h="1" x="375"/>
        <item h="1" x="143"/>
        <item h="1" x="857"/>
        <item h="1" x="1203"/>
        <item h="1" x="740"/>
        <item h="1" x="779"/>
        <item h="1" x="794"/>
        <item h="1" x="1183"/>
        <item h="1" x="417"/>
        <item h="1" x="1249"/>
        <item h="1" x="1313"/>
        <item h="1" x="1010"/>
        <item h="1" x="429"/>
        <item h="1" x="643"/>
        <item h="1" x="1194"/>
        <item h="1" x="1122"/>
        <item h="1" x="340"/>
        <item h="1" x="1161"/>
        <item h="1" x="142"/>
        <item h="1" x="1084"/>
        <item h="1" x="761"/>
        <item h="1" x="117"/>
        <item h="1" x="334"/>
        <item h="1" x="981"/>
        <item h="1" x="533"/>
        <item h="1" x="1178"/>
        <item h="1" x="729"/>
        <item h="1" x="305"/>
        <item h="1" x="235"/>
        <item h="1" x="1317"/>
        <item h="1" x="224"/>
        <item h="1" x="465"/>
        <item h="1" x="749"/>
        <item h="1" x="411"/>
        <item h="1" x="1133"/>
        <item h="1" x="884"/>
        <item h="1" x="159"/>
        <item h="1" x="895"/>
        <item h="1" x="948"/>
        <item h="1" x="153"/>
        <item h="1" x="953"/>
        <item h="1" x="637"/>
        <item h="1" x="1230"/>
        <item h="1" x="306"/>
        <item h="1" x="1039"/>
        <item h="1" x="291"/>
        <item h="1" x="1207"/>
        <item h="1" x="1103"/>
        <item h="1" x="264"/>
        <item h="1" x="45"/>
        <item h="1" x="1131"/>
        <item h="1" x="144"/>
        <item h="1" x="826"/>
        <item h="1" x="382"/>
        <item h="1" x="473"/>
        <item h="1" x="207"/>
        <item h="1" x="514"/>
        <item h="1" x="85"/>
        <item h="1" x="792"/>
        <item h="1" x="156"/>
        <item h="1" x="1002"/>
        <item h="1" x="1303"/>
        <item h="1" x="102"/>
        <item h="1" x="160"/>
        <item h="1" x="1306"/>
        <item h="1" x="1026"/>
        <item h="1" x="376"/>
        <item h="1" x="1029"/>
        <item h="1" x="1187"/>
        <item h="1" x="915"/>
        <item h="1" x="455"/>
        <item h="1" x="1044"/>
        <item h="1" x="297"/>
        <item h="1" x="3"/>
        <item h="1" x="461"/>
        <item h="1" x="660"/>
        <item h="1" x="502"/>
        <item h="1" x="280"/>
        <item h="1" x="1327"/>
        <item h="1" x="98"/>
        <item h="1" x="1277"/>
        <item h="1" x="1170"/>
        <item h="1" x="1038"/>
        <item h="1" x="1097"/>
        <item h="1" x="756"/>
        <item h="1" x="430"/>
        <item h="1" x="1007"/>
        <item h="1" x="58"/>
        <item h="1" x="468"/>
        <item h="1" x="616"/>
        <item h="1" x="817"/>
        <item h="1" x="1210"/>
        <item h="1" x="52"/>
        <item h="1" x="545"/>
        <item h="1" x="1175"/>
        <item h="1" x="965"/>
        <item h="1" x="526"/>
        <item h="1" x="853"/>
        <item h="1" x="1111"/>
        <item h="1" x="227"/>
        <item h="1" x="331"/>
        <item h="1" x="245"/>
        <item h="1" x="491"/>
        <item h="1" x="782"/>
        <item h="1" x="1280"/>
        <item h="1" x="355"/>
        <item h="1" x="654"/>
        <item h="1" x="321"/>
        <item h="1" x="262"/>
        <item h="1" x="301"/>
        <item h="1" x="636"/>
        <item h="1" x="1006"/>
        <item h="1" x="219"/>
        <item h="1" x="1052"/>
        <item h="1" x="924"/>
        <item h="1" x="474"/>
        <item h="1" x="979"/>
        <item h="1" x="520"/>
        <item h="1" x="606"/>
        <item h="1" x="289"/>
        <item h="1" x="1018"/>
        <item h="1" x="444"/>
        <item h="1" x="1222"/>
        <item h="1" x="875"/>
        <item h="1" x="687"/>
        <item h="1" x="657"/>
        <item h="1" x="963"/>
        <item h="1" x="1264"/>
        <item h="1" x="379"/>
        <item h="1" x="663"/>
        <item h="1" x="1141"/>
        <item h="1" x="885"/>
        <item h="1" x="138"/>
        <item h="1" x="539"/>
        <item h="1" x="140"/>
        <item h="1" x="842"/>
        <item h="1" x="516"/>
        <item h="1" x="11"/>
        <item h="1" x="769"/>
        <item h="1" x="1320"/>
        <item h="1" x="443"/>
        <item h="1" x="986"/>
        <item h="1" x="958"/>
        <item h="1" x="805"/>
        <item h="1" x="475"/>
        <item h="1" x="9"/>
        <item h="1" x="419"/>
        <item h="1" x="1336"/>
        <item h="1" x="695"/>
        <item h="1" x="889"/>
        <item h="1" x="244"/>
        <item h="1" x="1257"/>
        <item h="1" x="62"/>
        <item h="1" x="92"/>
        <item h="1" x="115"/>
        <item h="1" x="387"/>
        <item h="1" x="103"/>
        <item h="1" x="573"/>
        <item h="1" x="935"/>
        <item h="1" x="503"/>
        <item h="1" x="128"/>
        <item h="1" x="640"/>
        <item h="1" x="1195"/>
        <item h="1" x="598"/>
        <item h="1" x="1041"/>
        <item h="1" x="910"/>
        <item h="1" x="259"/>
        <item h="1" x="1307"/>
        <item h="1" x="1092"/>
        <item h="1" x="1119"/>
        <item h="1" x="1266"/>
        <item h="1" x="57"/>
        <item h="1" x="617"/>
        <item h="1" x="1000"/>
        <item h="1" x="622"/>
        <item h="1" x="1077"/>
        <item h="1" x="223"/>
        <item h="1" x="688"/>
        <item h="1" x="1290"/>
        <item h="1" x="314"/>
        <item h="1" x="916"/>
        <item h="1" x="476"/>
        <item h="1" x="242"/>
        <item h="1" x="322"/>
        <item h="1" x="30"/>
        <item h="1" x="1020"/>
        <item h="1" x="841"/>
        <item h="1" x="373"/>
        <item h="1" x="1116"/>
        <item h="1" x="161"/>
        <item h="1" x="737"/>
        <item h="1" x="500"/>
        <item h="1" x="263"/>
        <item h="1" x="758"/>
        <item h="1" x="1312"/>
        <item h="1" x="1011"/>
        <item h="1" x="19"/>
        <item h="1" x="1138"/>
        <item h="1" x="1205"/>
        <item h="1" x="158"/>
        <item h="1" x="441"/>
        <item h="1" x="203"/>
        <item h="1" x="82"/>
        <item h="1" x="849"/>
        <item h="1" x="1185"/>
        <item h="1" x="1035"/>
        <item h="1" x="1248"/>
        <item h="1" x="23"/>
        <item h="1" x="53"/>
        <item h="1" x="1302"/>
        <item h="1" x="377"/>
        <item h="1" x="524"/>
        <item h="1" x="1117"/>
        <item h="1" x="1287"/>
        <item h="1" x="1206"/>
        <item h="1" x="240"/>
        <item h="1" x="49"/>
        <item h="1" x="29"/>
        <item h="1" x="298"/>
        <item h="1" x="802"/>
        <item h="1" x="952"/>
        <item h="1" x="946"/>
        <item h="1" x="422"/>
        <item h="1" x="608"/>
        <item h="1" x="123"/>
        <item h="1" x="827"/>
        <item h="1" x="14"/>
        <item h="1" x="1155"/>
        <item h="1" x="1036"/>
        <item h="1" x="1048"/>
        <item h="1" x="38"/>
        <item h="1" x="84"/>
        <item h="1" x="1069"/>
        <item h="1" x="558"/>
        <item h="1" x="666"/>
        <item h="1" x="681"/>
        <item h="1" x="620"/>
        <item h="1" x="696"/>
        <item h="1" x="735"/>
        <item h="1" x="146"/>
        <item h="1" x="1123"/>
        <item h="1" x="724"/>
        <item h="1" x="1151"/>
        <item h="1" x="855"/>
        <item h="1" x="957"/>
        <item h="1" x="254"/>
        <item h="1" x="1217"/>
        <item h="1" x="1089"/>
        <item h="1" x="338"/>
        <item h="1" x="1110"/>
        <item h="1" x="955"/>
        <item h="1" x="851"/>
        <item h="1" x="292"/>
        <item h="1" x="312"/>
        <item h="1" x="1021"/>
        <item h="1" x="381"/>
        <item h="1" x="664"/>
        <item h="1" x="327"/>
        <item h="1" x="271"/>
        <item h="1" x="614"/>
        <item h="1" x="628"/>
        <item h="1" x="741"/>
        <item h="1" x="86"/>
        <item h="1" x="185"/>
        <item h="1" x="825"/>
        <item h="1" x="1322"/>
        <item h="1" x="256"/>
        <item h="1" x="586"/>
        <item h="1" x="892"/>
        <item h="1" x="252"/>
        <item h="1" x="705"/>
        <item h="1" x="1030"/>
        <item h="1" x="1046"/>
        <item h="1" x="738"/>
        <item h="1" x="1095"/>
        <item h="1" x="844"/>
        <item h="1" x="569"/>
        <item h="1" x="667"/>
        <item h="1" x="549"/>
        <item h="1" x="859"/>
        <item h="1" x="676"/>
        <item h="1" x="265"/>
        <item h="1" x="673"/>
        <item h="1" x="882"/>
        <item h="1" x="421"/>
        <item h="1" x="1121"/>
        <item h="1" x="1300"/>
        <item h="1" x="420"/>
        <item h="1" x="109"/>
        <item h="1" x="1239"/>
        <item h="1" x="94"/>
        <item h="1" x="251"/>
        <item h="1" x="1283"/>
        <item h="1" x="950"/>
        <item h="1" x="55"/>
        <item h="1" x="288"/>
        <item h="1" x="328"/>
        <item h="1" x="39"/>
        <item h="1" x="330"/>
        <item h="1" x="281"/>
        <item h="1" x="900"/>
        <item h="1" x="530"/>
        <item h="1" x="175"/>
        <item h="1" x="488"/>
        <item h="1" x="1061"/>
        <item h="1" x="1240"/>
        <item h="1" x="34"/>
        <item h="1" x="1145"/>
        <item h="1" x="818"/>
        <item h="1" x="577"/>
        <item h="1" x="1229"/>
        <item h="1" x="1299"/>
        <item h="1" x="543"/>
        <item t="default"/>
      </items>
    </pivotField>
  </pivotFields>
  <rowFields count="3">
    <field x="4"/>
    <field x="5"/>
    <field x="1"/>
  </rowFields>
  <rowItems count="14">
    <i>
      <x v="1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ge" fld="0" baseField="0" baseItem="0"/>
    <dataField name="Sum of bmi" fld="2" baseField="0" baseItem="0"/>
    <dataField name="Sum of children" fld="3" baseField="0" baseItem="0"/>
    <dataField name="Sum of charges" fld="6" baseField="0" baseItem="0"/>
  </dataFields>
  <chartFormats count="4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205C72-FFAD-4138-B079-C15AA69767A9}" name="Table1" displayName="Table1" ref="A3:G665" totalsRowShown="0">
  <autoFilter ref="A3:G665" xr:uid="{A2205C72-FFAD-4138-B079-C15AA69767A9}"/>
  <tableColumns count="7">
    <tableColumn id="1" xr3:uid="{1DE8B0DD-DFD5-4975-B8D6-DA913E88BE2D}" name="age"/>
    <tableColumn id="2" xr3:uid="{3E565013-8FD4-43E9-B79F-553A3049AB17}" name="sex"/>
    <tableColumn id="3" xr3:uid="{84F3789C-4C6E-41F8-BD2B-6E8C5BFC11FB}" name="bmi"/>
    <tableColumn id="4" xr3:uid="{15C04DCE-C39C-4128-B73D-CECDEFA1F048}" name="children"/>
    <tableColumn id="5" xr3:uid="{DD79693C-7E9E-46B3-AE51-689DBC85612B}" name="smoker"/>
    <tableColumn id="6" xr3:uid="{A7B90789-F7CC-4283-9053-53C19BFA53D1}" name="region"/>
    <tableColumn id="7" xr3:uid="{CAF79D87-2BA0-4DD4-9819-645A486FC93B}" name="charg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DB372-9AAB-44A5-A4DF-8BE572634CD0}">
  <dimension ref="A1:G665"/>
  <sheetViews>
    <sheetView topLeftCell="A154" workbookViewId="0">
      <selection activeCell="H9" sqref="H9"/>
    </sheetView>
  </sheetViews>
  <sheetFormatPr defaultRowHeight="14.4" x14ac:dyDescent="0.3"/>
  <cols>
    <col min="1" max="3" width="9" bestFit="1" customWidth="1"/>
    <col min="4" max="4" width="10" bestFit="1" customWidth="1"/>
    <col min="5" max="6" width="9.44140625" bestFit="1" customWidth="1"/>
    <col min="7" max="7" width="9.6640625" bestFit="1" customWidth="1"/>
  </cols>
  <sheetData>
    <row r="1" spans="1:7" x14ac:dyDescent="0.3">
      <c r="A1" s="9" t="s">
        <v>31</v>
      </c>
    </row>
    <row r="3" spans="1:7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3">
      <c r="A4">
        <v>18</v>
      </c>
      <c r="B4" t="s">
        <v>7</v>
      </c>
      <c r="C4">
        <v>31.92</v>
      </c>
      <c r="D4">
        <v>0</v>
      </c>
      <c r="E4" t="s">
        <v>11</v>
      </c>
      <c r="F4" t="s">
        <v>14</v>
      </c>
      <c r="G4">
        <v>2205.9807999999998</v>
      </c>
    </row>
    <row r="5" spans="1:7" x14ac:dyDescent="0.3">
      <c r="A5">
        <v>23</v>
      </c>
      <c r="B5" t="s">
        <v>7</v>
      </c>
      <c r="C5">
        <v>24.225000000000001</v>
      </c>
      <c r="D5">
        <v>2</v>
      </c>
      <c r="E5" t="s">
        <v>11</v>
      </c>
      <c r="F5" t="s">
        <v>14</v>
      </c>
      <c r="G5">
        <v>22395.74424</v>
      </c>
    </row>
    <row r="6" spans="1:7" x14ac:dyDescent="0.3">
      <c r="A6">
        <v>42</v>
      </c>
      <c r="B6" t="s">
        <v>7</v>
      </c>
      <c r="C6">
        <v>32.869999999999997</v>
      </c>
      <c r="D6">
        <v>0</v>
      </c>
      <c r="E6" t="s">
        <v>11</v>
      </c>
      <c r="F6" t="s">
        <v>14</v>
      </c>
      <c r="G6">
        <v>7050.0213000000003</v>
      </c>
    </row>
    <row r="7" spans="1:7" x14ac:dyDescent="0.3">
      <c r="A7">
        <v>52</v>
      </c>
      <c r="B7" t="s">
        <v>7</v>
      </c>
      <c r="C7">
        <v>30.78</v>
      </c>
      <c r="D7">
        <v>1</v>
      </c>
      <c r="E7" t="s">
        <v>11</v>
      </c>
      <c r="F7" t="s">
        <v>14</v>
      </c>
      <c r="G7">
        <v>10797.3362</v>
      </c>
    </row>
    <row r="8" spans="1:7" x14ac:dyDescent="0.3">
      <c r="A8">
        <v>60</v>
      </c>
      <c r="B8" t="s">
        <v>7</v>
      </c>
      <c r="C8">
        <v>36.005000000000003</v>
      </c>
      <c r="D8">
        <v>0</v>
      </c>
      <c r="E8" t="s">
        <v>11</v>
      </c>
      <c r="F8" t="s">
        <v>14</v>
      </c>
      <c r="G8">
        <v>13228.846949999999</v>
      </c>
    </row>
    <row r="9" spans="1:7" x14ac:dyDescent="0.3">
      <c r="A9">
        <v>63</v>
      </c>
      <c r="B9" t="s">
        <v>7</v>
      </c>
      <c r="C9">
        <v>23.085000000000001</v>
      </c>
      <c r="D9">
        <v>0</v>
      </c>
      <c r="E9" t="s">
        <v>11</v>
      </c>
      <c r="F9" t="s">
        <v>14</v>
      </c>
      <c r="G9">
        <v>14451.835150000001</v>
      </c>
    </row>
    <row r="10" spans="1:7" x14ac:dyDescent="0.3">
      <c r="A10">
        <v>18</v>
      </c>
      <c r="B10" t="s">
        <v>7</v>
      </c>
      <c r="C10">
        <v>26.315000000000001</v>
      </c>
      <c r="D10">
        <v>0</v>
      </c>
      <c r="E10" t="s">
        <v>11</v>
      </c>
      <c r="F10" t="s">
        <v>14</v>
      </c>
      <c r="G10">
        <v>2198.1898500000002</v>
      </c>
    </row>
    <row r="11" spans="1:7" x14ac:dyDescent="0.3">
      <c r="A11">
        <v>38</v>
      </c>
      <c r="B11" t="s">
        <v>7</v>
      </c>
      <c r="C11">
        <v>19.95</v>
      </c>
      <c r="D11">
        <v>2</v>
      </c>
      <c r="E11" t="s">
        <v>11</v>
      </c>
      <c r="F11" t="s">
        <v>14</v>
      </c>
      <c r="G11">
        <v>7133.9025000000001</v>
      </c>
    </row>
    <row r="12" spans="1:7" x14ac:dyDescent="0.3">
      <c r="A12">
        <v>24</v>
      </c>
      <c r="B12" t="s">
        <v>7</v>
      </c>
      <c r="C12">
        <v>26.6</v>
      </c>
      <c r="D12">
        <v>0</v>
      </c>
      <c r="E12" t="s">
        <v>11</v>
      </c>
      <c r="F12" t="s">
        <v>14</v>
      </c>
      <c r="G12">
        <v>3046.0619999999999</v>
      </c>
    </row>
    <row r="13" spans="1:7" x14ac:dyDescent="0.3">
      <c r="A13">
        <v>28</v>
      </c>
      <c r="B13" t="s">
        <v>7</v>
      </c>
      <c r="C13">
        <v>17.29</v>
      </c>
      <c r="D13">
        <v>0</v>
      </c>
      <c r="E13" t="s">
        <v>11</v>
      </c>
      <c r="F13" t="s">
        <v>14</v>
      </c>
      <c r="G13">
        <v>3732.6251000000002</v>
      </c>
    </row>
    <row r="14" spans="1:7" x14ac:dyDescent="0.3">
      <c r="A14">
        <v>47</v>
      </c>
      <c r="B14" t="s">
        <v>7</v>
      </c>
      <c r="C14">
        <v>24.32</v>
      </c>
      <c r="D14">
        <v>0</v>
      </c>
      <c r="E14" t="s">
        <v>11</v>
      </c>
      <c r="F14" t="s">
        <v>14</v>
      </c>
      <c r="G14">
        <v>8534.6718000000001</v>
      </c>
    </row>
    <row r="15" spans="1:7" x14ac:dyDescent="0.3">
      <c r="A15">
        <v>18</v>
      </c>
      <c r="B15" t="s">
        <v>7</v>
      </c>
      <c r="C15">
        <v>38.664999999999999</v>
      </c>
      <c r="D15">
        <v>2</v>
      </c>
      <c r="E15" t="s">
        <v>11</v>
      </c>
      <c r="F15" t="s">
        <v>14</v>
      </c>
      <c r="G15">
        <v>3393.35635</v>
      </c>
    </row>
    <row r="16" spans="1:7" x14ac:dyDescent="0.3">
      <c r="A16">
        <v>18</v>
      </c>
      <c r="B16" t="s">
        <v>7</v>
      </c>
      <c r="C16">
        <v>35.625</v>
      </c>
      <c r="D16">
        <v>0</v>
      </c>
      <c r="E16" t="s">
        <v>11</v>
      </c>
      <c r="F16" t="s">
        <v>14</v>
      </c>
      <c r="G16">
        <v>2211.1307499999998</v>
      </c>
    </row>
    <row r="17" spans="1:7" x14ac:dyDescent="0.3">
      <c r="A17">
        <v>58</v>
      </c>
      <c r="B17" t="s">
        <v>7</v>
      </c>
      <c r="C17">
        <v>31.824999999999999</v>
      </c>
      <c r="D17">
        <v>2</v>
      </c>
      <c r="E17" t="s">
        <v>11</v>
      </c>
      <c r="F17" t="s">
        <v>14</v>
      </c>
      <c r="G17">
        <v>13607.36875</v>
      </c>
    </row>
    <row r="18" spans="1:7" x14ac:dyDescent="0.3">
      <c r="A18">
        <v>22</v>
      </c>
      <c r="B18" t="s">
        <v>7</v>
      </c>
      <c r="C18">
        <v>30.4</v>
      </c>
      <c r="D18">
        <v>0</v>
      </c>
      <c r="E18" t="s">
        <v>11</v>
      </c>
      <c r="F18" t="s">
        <v>14</v>
      </c>
      <c r="G18">
        <v>2741.9479999999999</v>
      </c>
    </row>
    <row r="19" spans="1:7" x14ac:dyDescent="0.3">
      <c r="A19">
        <v>49</v>
      </c>
      <c r="B19" t="s">
        <v>7</v>
      </c>
      <c r="C19">
        <v>33.344999999999999</v>
      </c>
      <c r="D19">
        <v>2</v>
      </c>
      <c r="E19" t="s">
        <v>11</v>
      </c>
      <c r="F19" t="s">
        <v>14</v>
      </c>
      <c r="G19">
        <v>10370.912549999999</v>
      </c>
    </row>
    <row r="20" spans="1:7" x14ac:dyDescent="0.3">
      <c r="A20">
        <v>32</v>
      </c>
      <c r="B20" t="s">
        <v>7</v>
      </c>
      <c r="C20">
        <v>20.52</v>
      </c>
      <c r="D20">
        <v>0</v>
      </c>
      <c r="E20" t="s">
        <v>11</v>
      </c>
      <c r="F20" t="s">
        <v>14</v>
      </c>
      <c r="G20">
        <v>4544.2348000000002</v>
      </c>
    </row>
    <row r="21" spans="1:7" x14ac:dyDescent="0.3">
      <c r="A21">
        <v>52</v>
      </c>
      <c r="B21" t="s">
        <v>7</v>
      </c>
      <c r="C21">
        <v>23.18</v>
      </c>
      <c r="D21">
        <v>0</v>
      </c>
      <c r="E21" t="s">
        <v>11</v>
      </c>
      <c r="F21" t="s">
        <v>14</v>
      </c>
      <c r="G21">
        <v>10197.772199999999</v>
      </c>
    </row>
    <row r="22" spans="1:7" x14ac:dyDescent="0.3">
      <c r="A22">
        <v>22</v>
      </c>
      <c r="B22" t="s">
        <v>7</v>
      </c>
      <c r="C22">
        <v>39.805</v>
      </c>
      <c r="D22">
        <v>0</v>
      </c>
      <c r="E22" t="s">
        <v>11</v>
      </c>
      <c r="F22" t="s">
        <v>14</v>
      </c>
      <c r="G22">
        <v>2755.0209500000001</v>
      </c>
    </row>
    <row r="23" spans="1:7" x14ac:dyDescent="0.3">
      <c r="A23">
        <v>45</v>
      </c>
      <c r="B23" t="s">
        <v>7</v>
      </c>
      <c r="C23">
        <v>38.284999999999997</v>
      </c>
      <c r="D23">
        <v>0</v>
      </c>
      <c r="E23" t="s">
        <v>11</v>
      </c>
      <c r="F23" t="s">
        <v>14</v>
      </c>
      <c r="G23">
        <v>7935.29115</v>
      </c>
    </row>
    <row r="24" spans="1:7" x14ac:dyDescent="0.3">
      <c r="A24">
        <v>18</v>
      </c>
      <c r="B24" t="s">
        <v>7</v>
      </c>
      <c r="C24">
        <v>30.114999999999998</v>
      </c>
      <c r="D24">
        <v>0</v>
      </c>
      <c r="E24" t="s">
        <v>11</v>
      </c>
      <c r="F24" t="s">
        <v>14</v>
      </c>
      <c r="G24">
        <v>21344.846699999998</v>
      </c>
    </row>
    <row r="25" spans="1:7" x14ac:dyDescent="0.3">
      <c r="A25">
        <v>63</v>
      </c>
      <c r="B25" t="s">
        <v>7</v>
      </c>
      <c r="C25">
        <v>21.66</v>
      </c>
      <c r="D25">
        <v>0</v>
      </c>
      <c r="E25" t="s">
        <v>11</v>
      </c>
      <c r="F25" t="s">
        <v>14</v>
      </c>
      <c r="G25">
        <v>14449.8544</v>
      </c>
    </row>
    <row r="26" spans="1:7" x14ac:dyDescent="0.3">
      <c r="A26">
        <v>30</v>
      </c>
      <c r="B26" t="s">
        <v>7</v>
      </c>
      <c r="C26">
        <v>21.945</v>
      </c>
      <c r="D26">
        <v>1</v>
      </c>
      <c r="E26" t="s">
        <v>11</v>
      </c>
      <c r="F26" t="s">
        <v>14</v>
      </c>
      <c r="G26">
        <v>4718.2035500000002</v>
      </c>
    </row>
    <row r="27" spans="1:7" x14ac:dyDescent="0.3">
      <c r="A27">
        <v>26</v>
      </c>
      <c r="B27" t="s">
        <v>7</v>
      </c>
      <c r="C27">
        <v>28.785</v>
      </c>
      <c r="D27">
        <v>0</v>
      </c>
      <c r="E27" t="s">
        <v>11</v>
      </c>
      <c r="F27" t="s">
        <v>14</v>
      </c>
      <c r="G27">
        <v>3385.3991500000002</v>
      </c>
    </row>
    <row r="28" spans="1:7" x14ac:dyDescent="0.3">
      <c r="A28">
        <v>59</v>
      </c>
      <c r="B28" t="s">
        <v>7</v>
      </c>
      <c r="C28">
        <v>26.504999999999999</v>
      </c>
      <c r="D28">
        <v>0</v>
      </c>
      <c r="E28" t="s">
        <v>11</v>
      </c>
      <c r="F28" t="s">
        <v>14</v>
      </c>
      <c r="G28">
        <v>12815.444949999999</v>
      </c>
    </row>
    <row r="29" spans="1:7" x14ac:dyDescent="0.3">
      <c r="A29">
        <v>61</v>
      </c>
      <c r="B29" t="s">
        <v>7</v>
      </c>
      <c r="C29">
        <v>22.04</v>
      </c>
      <c r="D29">
        <v>0</v>
      </c>
      <c r="E29" t="s">
        <v>11</v>
      </c>
      <c r="F29" t="s">
        <v>14</v>
      </c>
      <c r="G29">
        <v>13616.3586</v>
      </c>
    </row>
    <row r="30" spans="1:7" x14ac:dyDescent="0.3">
      <c r="A30">
        <v>20</v>
      </c>
      <c r="B30" t="s">
        <v>7</v>
      </c>
      <c r="C30">
        <v>28.785</v>
      </c>
      <c r="D30">
        <v>0</v>
      </c>
      <c r="E30" t="s">
        <v>11</v>
      </c>
      <c r="F30" t="s">
        <v>14</v>
      </c>
      <c r="G30">
        <v>2457.2111500000001</v>
      </c>
    </row>
    <row r="31" spans="1:7" x14ac:dyDescent="0.3">
      <c r="A31">
        <v>58</v>
      </c>
      <c r="B31" t="s">
        <v>7</v>
      </c>
      <c r="C31">
        <v>32.395000000000003</v>
      </c>
      <c r="D31">
        <v>1</v>
      </c>
      <c r="E31" t="s">
        <v>11</v>
      </c>
      <c r="F31" t="s">
        <v>14</v>
      </c>
      <c r="G31">
        <v>13019.161050000001</v>
      </c>
    </row>
    <row r="32" spans="1:7" x14ac:dyDescent="0.3">
      <c r="A32">
        <v>41</v>
      </c>
      <c r="B32" t="s">
        <v>7</v>
      </c>
      <c r="C32">
        <v>21.754999999999999</v>
      </c>
      <c r="D32">
        <v>1</v>
      </c>
      <c r="E32" t="s">
        <v>11</v>
      </c>
      <c r="F32" t="s">
        <v>14</v>
      </c>
      <c r="G32">
        <v>13725.47184</v>
      </c>
    </row>
    <row r="33" spans="1:7" x14ac:dyDescent="0.3">
      <c r="A33">
        <v>32</v>
      </c>
      <c r="B33" t="s">
        <v>7</v>
      </c>
      <c r="C33">
        <v>37.145000000000003</v>
      </c>
      <c r="D33">
        <v>3</v>
      </c>
      <c r="E33" t="s">
        <v>11</v>
      </c>
      <c r="F33" t="s">
        <v>14</v>
      </c>
      <c r="G33">
        <v>6334.3435499999996</v>
      </c>
    </row>
    <row r="34" spans="1:7" x14ac:dyDescent="0.3">
      <c r="A34">
        <v>40</v>
      </c>
      <c r="B34" t="s">
        <v>7</v>
      </c>
      <c r="C34">
        <v>25.46</v>
      </c>
      <c r="D34">
        <v>1</v>
      </c>
      <c r="E34" t="s">
        <v>11</v>
      </c>
      <c r="F34" t="s">
        <v>14</v>
      </c>
      <c r="G34">
        <v>7077.1894000000002</v>
      </c>
    </row>
    <row r="35" spans="1:7" x14ac:dyDescent="0.3">
      <c r="A35">
        <v>48</v>
      </c>
      <c r="B35" t="s">
        <v>7</v>
      </c>
      <c r="C35">
        <v>27.36</v>
      </c>
      <c r="D35">
        <v>1</v>
      </c>
      <c r="E35" t="s">
        <v>11</v>
      </c>
      <c r="F35" t="s">
        <v>14</v>
      </c>
      <c r="G35">
        <v>9447.3824000000004</v>
      </c>
    </row>
    <row r="36" spans="1:7" x14ac:dyDescent="0.3">
      <c r="A36">
        <v>42</v>
      </c>
      <c r="B36" t="s">
        <v>7</v>
      </c>
      <c r="C36">
        <v>41.325000000000003</v>
      </c>
      <c r="D36">
        <v>1</v>
      </c>
      <c r="E36" t="s">
        <v>11</v>
      </c>
      <c r="F36" t="s">
        <v>14</v>
      </c>
      <c r="G36">
        <v>7650.7737500000003</v>
      </c>
    </row>
    <row r="37" spans="1:7" x14ac:dyDescent="0.3">
      <c r="A37">
        <v>23</v>
      </c>
      <c r="B37" t="s">
        <v>7</v>
      </c>
      <c r="C37">
        <v>34.865000000000002</v>
      </c>
      <c r="D37">
        <v>0</v>
      </c>
      <c r="E37" t="s">
        <v>11</v>
      </c>
      <c r="F37" t="s">
        <v>14</v>
      </c>
      <c r="G37">
        <v>2899.4893499999998</v>
      </c>
    </row>
    <row r="38" spans="1:7" x14ac:dyDescent="0.3">
      <c r="A38">
        <v>41</v>
      </c>
      <c r="B38" t="s">
        <v>7</v>
      </c>
      <c r="C38">
        <v>33.155000000000001</v>
      </c>
      <c r="D38">
        <v>3</v>
      </c>
      <c r="E38" t="s">
        <v>11</v>
      </c>
      <c r="F38" t="s">
        <v>14</v>
      </c>
      <c r="G38">
        <v>8538.28845</v>
      </c>
    </row>
    <row r="39" spans="1:7" x14ac:dyDescent="0.3">
      <c r="A39">
        <v>35</v>
      </c>
      <c r="B39" t="s">
        <v>7</v>
      </c>
      <c r="C39">
        <v>26.125</v>
      </c>
      <c r="D39">
        <v>0</v>
      </c>
      <c r="E39" t="s">
        <v>11</v>
      </c>
      <c r="F39" t="s">
        <v>14</v>
      </c>
      <c r="G39">
        <v>5227.9887500000004</v>
      </c>
    </row>
    <row r="40" spans="1:7" x14ac:dyDescent="0.3">
      <c r="A40">
        <v>18</v>
      </c>
      <c r="B40" t="s">
        <v>7</v>
      </c>
      <c r="C40">
        <v>28.215</v>
      </c>
      <c r="D40">
        <v>0</v>
      </c>
      <c r="E40" t="s">
        <v>11</v>
      </c>
      <c r="F40" t="s">
        <v>14</v>
      </c>
      <c r="G40">
        <v>2200.8308499999998</v>
      </c>
    </row>
    <row r="41" spans="1:7" x14ac:dyDescent="0.3">
      <c r="A41">
        <v>20</v>
      </c>
      <c r="B41" t="s">
        <v>7</v>
      </c>
      <c r="C41">
        <v>30.59</v>
      </c>
      <c r="D41">
        <v>0</v>
      </c>
      <c r="E41" t="s">
        <v>11</v>
      </c>
      <c r="F41" t="s">
        <v>14</v>
      </c>
      <c r="G41">
        <v>2459.7201</v>
      </c>
    </row>
    <row r="42" spans="1:7" x14ac:dyDescent="0.3">
      <c r="A42">
        <v>36</v>
      </c>
      <c r="B42" t="s">
        <v>7</v>
      </c>
      <c r="C42">
        <v>22.135000000000002</v>
      </c>
      <c r="D42">
        <v>3</v>
      </c>
      <c r="E42" t="s">
        <v>11</v>
      </c>
      <c r="F42" t="s">
        <v>14</v>
      </c>
      <c r="G42">
        <v>7228.2156500000001</v>
      </c>
    </row>
    <row r="43" spans="1:7" x14ac:dyDescent="0.3">
      <c r="A43">
        <v>64</v>
      </c>
      <c r="B43" t="s">
        <v>7</v>
      </c>
      <c r="C43">
        <v>39.33</v>
      </c>
      <c r="D43">
        <v>0</v>
      </c>
      <c r="E43" t="s">
        <v>11</v>
      </c>
      <c r="F43" t="s">
        <v>14</v>
      </c>
      <c r="G43">
        <v>14901.5167</v>
      </c>
    </row>
    <row r="44" spans="1:7" x14ac:dyDescent="0.3">
      <c r="A44">
        <v>28</v>
      </c>
      <c r="B44" t="s">
        <v>7</v>
      </c>
      <c r="C44">
        <v>28.88</v>
      </c>
      <c r="D44">
        <v>1</v>
      </c>
      <c r="E44" t="s">
        <v>11</v>
      </c>
      <c r="F44" t="s">
        <v>14</v>
      </c>
      <c r="G44">
        <v>4337.7352000000001</v>
      </c>
    </row>
    <row r="45" spans="1:7" x14ac:dyDescent="0.3">
      <c r="A45">
        <v>18</v>
      </c>
      <c r="B45" t="s">
        <v>7</v>
      </c>
      <c r="C45">
        <v>30.305</v>
      </c>
      <c r="D45">
        <v>0</v>
      </c>
      <c r="E45" t="s">
        <v>11</v>
      </c>
      <c r="F45" t="s">
        <v>14</v>
      </c>
      <c r="G45">
        <v>2203.7359499999998</v>
      </c>
    </row>
    <row r="46" spans="1:7" x14ac:dyDescent="0.3">
      <c r="A46">
        <v>53</v>
      </c>
      <c r="B46" t="s">
        <v>7</v>
      </c>
      <c r="C46">
        <v>33.25</v>
      </c>
      <c r="D46">
        <v>0</v>
      </c>
      <c r="E46" t="s">
        <v>11</v>
      </c>
      <c r="F46" t="s">
        <v>14</v>
      </c>
      <c r="G46">
        <v>10564.8845</v>
      </c>
    </row>
    <row r="47" spans="1:7" x14ac:dyDescent="0.3">
      <c r="A47">
        <v>41</v>
      </c>
      <c r="B47" t="s">
        <v>7</v>
      </c>
      <c r="C47">
        <v>31.635000000000002</v>
      </c>
      <c r="D47">
        <v>1</v>
      </c>
      <c r="E47" t="s">
        <v>11</v>
      </c>
      <c r="F47" t="s">
        <v>14</v>
      </c>
      <c r="G47">
        <v>7358.1756500000001</v>
      </c>
    </row>
    <row r="48" spans="1:7" x14ac:dyDescent="0.3">
      <c r="A48">
        <v>27</v>
      </c>
      <c r="B48" t="s">
        <v>7</v>
      </c>
      <c r="C48">
        <v>32.395000000000003</v>
      </c>
      <c r="D48">
        <v>1</v>
      </c>
      <c r="E48" t="s">
        <v>11</v>
      </c>
      <c r="F48" t="s">
        <v>14</v>
      </c>
      <c r="G48">
        <v>18903.491409999999</v>
      </c>
    </row>
    <row r="49" spans="1:7" x14ac:dyDescent="0.3">
      <c r="A49">
        <v>33</v>
      </c>
      <c r="B49" t="s">
        <v>7</v>
      </c>
      <c r="C49">
        <v>22.135000000000002</v>
      </c>
      <c r="D49">
        <v>1</v>
      </c>
      <c r="E49" t="s">
        <v>11</v>
      </c>
      <c r="F49" t="s">
        <v>14</v>
      </c>
      <c r="G49">
        <v>5354.0746499999996</v>
      </c>
    </row>
    <row r="50" spans="1:7" x14ac:dyDescent="0.3">
      <c r="A50">
        <v>54</v>
      </c>
      <c r="B50" t="s">
        <v>7</v>
      </c>
      <c r="C50">
        <v>32.299999999999997</v>
      </c>
      <c r="D50">
        <v>1</v>
      </c>
      <c r="E50" t="s">
        <v>11</v>
      </c>
      <c r="F50" t="s">
        <v>14</v>
      </c>
      <c r="G50">
        <v>11512.405000000001</v>
      </c>
    </row>
    <row r="51" spans="1:7" x14ac:dyDescent="0.3">
      <c r="A51">
        <v>55</v>
      </c>
      <c r="B51" t="s">
        <v>7</v>
      </c>
      <c r="C51">
        <v>25.364999999999998</v>
      </c>
      <c r="D51">
        <v>3</v>
      </c>
      <c r="E51" t="s">
        <v>11</v>
      </c>
      <c r="F51" t="s">
        <v>14</v>
      </c>
      <c r="G51">
        <v>13047.332350000001</v>
      </c>
    </row>
    <row r="52" spans="1:7" x14ac:dyDescent="0.3">
      <c r="A52">
        <v>52</v>
      </c>
      <c r="B52" t="s">
        <v>7</v>
      </c>
      <c r="C52">
        <v>30.875</v>
      </c>
      <c r="D52">
        <v>0</v>
      </c>
      <c r="E52" t="s">
        <v>11</v>
      </c>
      <c r="F52" t="s">
        <v>14</v>
      </c>
      <c r="G52">
        <v>23045.566159999998</v>
      </c>
    </row>
    <row r="53" spans="1:7" x14ac:dyDescent="0.3">
      <c r="A53">
        <v>18</v>
      </c>
      <c r="B53" t="s">
        <v>7</v>
      </c>
      <c r="C53">
        <v>31.35</v>
      </c>
      <c r="D53">
        <v>4</v>
      </c>
      <c r="E53" t="s">
        <v>11</v>
      </c>
      <c r="F53" t="s">
        <v>14</v>
      </c>
      <c r="G53">
        <v>4561.1885000000002</v>
      </c>
    </row>
    <row r="54" spans="1:7" x14ac:dyDescent="0.3">
      <c r="A54">
        <v>59</v>
      </c>
      <c r="B54" t="s">
        <v>7</v>
      </c>
      <c r="C54">
        <v>32.395000000000003</v>
      </c>
      <c r="D54">
        <v>3</v>
      </c>
      <c r="E54" t="s">
        <v>11</v>
      </c>
      <c r="F54" t="s">
        <v>14</v>
      </c>
      <c r="G54">
        <v>14590.63205</v>
      </c>
    </row>
    <row r="55" spans="1:7" x14ac:dyDescent="0.3">
      <c r="A55">
        <v>55</v>
      </c>
      <c r="B55" t="s">
        <v>7</v>
      </c>
      <c r="C55">
        <v>29.83</v>
      </c>
      <c r="D55">
        <v>0</v>
      </c>
      <c r="E55" t="s">
        <v>11</v>
      </c>
      <c r="F55" t="s">
        <v>14</v>
      </c>
      <c r="G55">
        <v>11286.538699999999</v>
      </c>
    </row>
    <row r="56" spans="1:7" x14ac:dyDescent="0.3">
      <c r="A56">
        <v>60</v>
      </c>
      <c r="B56" t="s">
        <v>7</v>
      </c>
      <c r="C56">
        <v>18.335000000000001</v>
      </c>
      <c r="D56">
        <v>0</v>
      </c>
      <c r="E56" t="s">
        <v>11</v>
      </c>
      <c r="F56" t="s">
        <v>14</v>
      </c>
      <c r="G56">
        <v>13204.28565</v>
      </c>
    </row>
    <row r="57" spans="1:7" x14ac:dyDescent="0.3">
      <c r="A57">
        <v>54</v>
      </c>
      <c r="B57" t="s">
        <v>7</v>
      </c>
      <c r="C57">
        <v>28.88</v>
      </c>
      <c r="D57">
        <v>2</v>
      </c>
      <c r="E57" t="s">
        <v>11</v>
      </c>
      <c r="F57" t="s">
        <v>14</v>
      </c>
      <c r="G57">
        <v>12096.6512</v>
      </c>
    </row>
    <row r="58" spans="1:7" x14ac:dyDescent="0.3">
      <c r="A58">
        <v>47</v>
      </c>
      <c r="B58" t="s">
        <v>7</v>
      </c>
      <c r="C58">
        <v>26.6</v>
      </c>
      <c r="D58">
        <v>2</v>
      </c>
      <c r="E58" t="s">
        <v>11</v>
      </c>
      <c r="F58" t="s">
        <v>14</v>
      </c>
      <c r="G58">
        <v>9715.8410000000003</v>
      </c>
    </row>
    <row r="59" spans="1:7" x14ac:dyDescent="0.3">
      <c r="A59">
        <v>55</v>
      </c>
      <c r="B59" t="s">
        <v>7</v>
      </c>
      <c r="C59">
        <v>32.395000000000003</v>
      </c>
      <c r="D59">
        <v>1</v>
      </c>
      <c r="E59" t="s">
        <v>11</v>
      </c>
      <c r="F59" t="s">
        <v>14</v>
      </c>
      <c r="G59">
        <v>11879.10405</v>
      </c>
    </row>
    <row r="60" spans="1:7" x14ac:dyDescent="0.3">
      <c r="A60">
        <v>46</v>
      </c>
      <c r="B60" t="s">
        <v>7</v>
      </c>
      <c r="C60">
        <v>48.07</v>
      </c>
      <c r="D60">
        <v>2</v>
      </c>
      <c r="E60" t="s">
        <v>11</v>
      </c>
      <c r="F60" t="s">
        <v>14</v>
      </c>
      <c r="G60">
        <v>9432.9253000000008</v>
      </c>
    </row>
    <row r="61" spans="1:7" x14ac:dyDescent="0.3">
      <c r="A61">
        <v>43</v>
      </c>
      <c r="B61" t="s">
        <v>7</v>
      </c>
      <c r="C61">
        <v>25.08</v>
      </c>
      <c r="D61">
        <v>0</v>
      </c>
      <c r="E61" t="s">
        <v>11</v>
      </c>
      <c r="F61" t="s">
        <v>14</v>
      </c>
      <c r="G61">
        <v>7325.0482000000002</v>
      </c>
    </row>
    <row r="62" spans="1:7" x14ac:dyDescent="0.3">
      <c r="A62">
        <v>30</v>
      </c>
      <c r="B62" t="s">
        <v>7</v>
      </c>
      <c r="C62">
        <v>27.93</v>
      </c>
      <c r="D62">
        <v>0</v>
      </c>
      <c r="E62" t="s">
        <v>11</v>
      </c>
      <c r="F62" t="s">
        <v>14</v>
      </c>
      <c r="G62">
        <v>4137.5227000000004</v>
      </c>
    </row>
    <row r="63" spans="1:7" x14ac:dyDescent="0.3">
      <c r="A63">
        <v>37</v>
      </c>
      <c r="B63" t="s">
        <v>7</v>
      </c>
      <c r="C63">
        <v>17.29</v>
      </c>
      <c r="D63">
        <v>2</v>
      </c>
      <c r="E63" t="s">
        <v>11</v>
      </c>
      <c r="F63" t="s">
        <v>14</v>
      </c>
      <c r="G63">
        <v>6877.9800999999998</v>
      </c>
    </row>
    <row r="64" spans="1:7" x14ac:dyDescent="0.3">
      <c r="A64">
        <v>26</v>
      </c>
      <c r="B64" t="s">
        <v>7</v>
      </c>
      <c r="C64">
        <v>29.64</v>
      </c>
      <c r="D64">
        <v>4</v>
      </c>
      <c r="E64" t="s">
        <v>11</v>
      </c>
      <c r="F64" t="s">
        <v>14</v>
      </c>
      <c r="G64">
        <v>24671.663339999999</v>
      </c>
    </row>
    <row r="65" spans="1:7" x14ac:dyDescent="0.3">
      <c r="A65">
        <v>33</v>
      </c>
      <c r="B65" t="s">
        <v>7</v>
      </c>
      <c r="C65">
        <v>36.29</v>
      </c>
      <c r="D65">
        <v>3</v>
      </c>
      <c r="E65" t="s">
        <v>11</v>
      </c>
      <c r="F65" t="s">
        <v>14</v>
      </c>
      <c r="G65">
        <v>6551.7501000000002</v>
      </c>
    </row>
    <row r="66" spans="1:7" x14ac:dyDescent="0.3">
      <c r="A66">
        <v>56</v>
      </c>
      <c r="B66" t="s">
        <v>7</v>
      </c>
      <c r="C66">
        <v>28.785</v>
      </c>
      <c r="D66">
        <v>0</v>
      </c>
      <c r="E66" t="s">
        <v>11</v>
      </c>
      <c r="F66" t="s">
        <v>14</v>
      </c>
      <c r="G66">
        <v>11658.379150000001</v>
      </c>
    </row>
    <row r="67" spans="1:7" x14ac:dyDescent="0.3">
      <c r="A67">
        <v>43</v>
      </c>
      <c r="B67" t="s">
        <v>7</v>
      </c>
      <c r="C67">
        <v>35.72</v>
      </c>
      <c r="D67">
        <v>2</v>
      </c>
      <c r="E67" t="s">
        <v>11</v>
      </c>
      <c r="F67" t="s">
        <v>14</v>
      </c>
      <c r="G67">
        <v>19144.576519999999</v>
      </c>
    </row>
    <row r="68" spans="1:7" x14ac:dyDescent="0.3">
      <c r="A68">
        <v>39</v>
      </c>
      <c r="B68" t="s">
        <v>7</v>
      </c>
      <c r="C68">
        <v>23.274999999999999</v>
      </c>
      <c r="D68">
        <v>3</v>
      </c>
      <c r="E68" t="s">
        <v>11</v>
      </c>
      <c r="F68" t="s">
        <v>14</v>
      </c>
      <c r="G68">
        <v>7986.4752500000004</v>
      </c>
    </row>
    <row r="69" spans="1:7" x14ac:dyDescent="0.3">
      <c r="A69">
        <v>60</v>
      </c>
      <c r="B69" t="s">
        <v>7</v>
      </c>
      <c r="C69">
        <v>27.55</v>
      </c>
      <c r="D69">
        <v>0</v>
      </c>
      <c r="E69" t="s">
        <v>11</v>
      </c>
      <c r="F69" t="s">
        <v>14</v>
      </c>
      <c r="G69">
        <v>13217.094499999999</v>
      </c>
    </row>
    <row r="70" spans="1:7" x14ac:dyDescent="0.3">
      <c r="A70">
        <v>38</v>
      </c>
      <c r="B70" t="s">
        <v>7</v>
      </c>
      <c r="C70">
        <v>27.835000000000001</v>
      </c>
      <c r="D70">
        <v>2</v>
      </c>
      <c r="E70" t="s">
        <v>11</v>
      </c>
      <c r="F70" t="s">
        <v>14</v>
      </c>
      <c r="G70">
        <v>7144.86265</v>
      </c>
    </row>
    <row r="71" spans="1:7" x14ac:dyDescent="0.3">
      <c r="A71">
        <v>27</v>
      </c>
      <c r="B71" t="s">
        <v>7</v>
      </c>
      <c r="C71">
        <v>30.59</v>
      </c>
      <c r="D71">
        <v>1</v>
      </c>
      <c r="E71" t="s">
        <v>11</v>
      </c>
      <c r="F71" t="s">
        <v>14</v>
      </c>
      <c r="G71">
        <v>16796.411940000002</v>
      </c>
    </row>
    <row r="72" spans="1:7" x14ac:dyDescent="0.3">
      <c r="A72">
        <v>45</v>
      </c>
      <c r="B72" t="s">
        <v>7</v>
      </c>
      <c r="C72">
        <v>39.994999999999997</v>
      </c>
      <c r="D72">
        <v>3</v>
      </c>
      <c r="E72" t="s">
        <v>11</v>
      </c>
      <c r="F72" t="s">
        <v>14</v>
      </c>
      <c r="G72">
        <v>9704.6680500000002</v>
      </c>
    </row>
    <row r="73" spans="1:7" x14ac:dyDescent="0.3">
      <c r="A73">
        <v>48</v>
      </c>
      <c r="B73" t="s">
        <v>7</v>
      </c>
      <c r="C73">
        <v>32.299999999999997</v>
      </c>
      <c r="D73">
        <v>2</v>
      </c>
      <c r="E73" t="s">
        <v>11</v>
      </c>
      <c r="F73" t="s">
        <v>14</v>
      </c>
      <c r="G73">
        <v>10043.249</v>
      </c>
    </row>
    <row r="74" spans="1:7" x14ac:dyDescent="0.3">
      <c r="A74">
        <v>49</v>
      </c>
      <c r="B74" t="s">
        <v>7</v>
      </c>
      <c r="C74">
        <v>30.78</v>
      </c>
      <c r="D74">
        <v>1</v>
      </c>
      <c r="E74" t="s">
        <v>11</v>
      </c>
      <c r="F74" t="s">
        <v>14</v>
      </c>
      <c r="G74">
        <v>9778.3472000000002</v>
      </c>
    </row>
    <row r="75" spans="1:7" x14ac:dyDescent="0.3">
      <c r="A75">
        <v>56</v>
      </c>
      <c r="B75" t="s">
        <v>7</v>
      </c>
      <c r="C75">
        <v>32.299999999999997</v>
      </c>
      <c r="D75">
        <v>3</v>
      </c>
      <c r="E75" t="s">
        <v>11</v>
      </c>
      <c r="F75" t="s">
        <v>14</v>
      </c>
      <c r="G75">
        <v>13430.264999999999</v>
      </c>
    </row>
    <row r="76" spans="1:7" x14ac:dyDescent="0.3">
      <c r="A76">
        <v>34</v>
      </c>
      <c r="B76" t="s">
        <v>7</v>
      </c>
      <c r="C76">
        <v>23.56</v>
      </c>
      <c r="D76">
        <v>0</v>
      </c>
      <c r="E76" t="s">
        <v>11</v>
      </c>
      <c r="F76" t="s">
        <v>14</v>
      </c>
      <c r="G76">
        <v>4992.3764000000001</v>
      </c>
    </row>
    <row r="77" spans="1:7" x14ac:dyDescent="0.3">
      <c r="A77">
        <v>57</v>
      </c>
      <c r="B77" t="s">
        <v>7</v>
      </c>
      <c r="C77">
        <v>22.23</v>
      </c>
      <c r="D77">
        <v>0</v>
      </c>
      <c r="E77" t="s">
        <v>11</v>
      </c>
      <c r="F77" t="s">
        <v>14</v>
      </c>
      <c r="G77">
        <v>12029.286700000001</v>
      </c>
    </row>
    <row r="78" spans="1:7" x14ac:dyDescent="0.3">
      <c r="A78">
        <v>42</v>
      </c>
      <c r="B78" t="s">
        <v>7</v>
      </c>
      <c r="C78">
        <v>33.155000000000001</v>
      </c>
      <c r="D78">
        <v>1</v>
      </c>
      <c r="E78" t="s">
        <v>11</v>
      </c>
      <c r="F78" t="s">
        <v>14</v>
      </c>
      <c r="G78">
        <v>7639.4174499999999</v>
      </c>
    </row>
    <row r="79" spans="1:7" x14ac:dyDescent="0.3">
      <c r="A79">
        <v>18</v>
      </c>
      <c r="B79" t="s">
        <v>7</v>
      </c>
      <c r="C79">
        <v>40.185000000000002</v>
      </c>
      <c r="D79">
        <v>0</v>
      </c>
      <c r="E79" t="s">
        <v>11</v>
      </c>
      <c r="F79" t="s">
        <v>14</v>
      </c>
      <c r="G79">
        <v>2217.4691499999999</v>
      </c>
    </row>
    <row r="80" spans="1:7" x14ac:dyDescent="0.3">
      <c r="A80">
        <v>46</v>
      </c>
      <c r="B80" t="s">
        <v>7</v>
      </c>
      <c r="C80">
        <v>32.299999999999997</v>
      </c>
      <c r="D80">
        <v>2</v>
      </c>
      <c r="E80" t="s">
        <v>11</v>
      </c>
      <c r="F80" t="s">
        <v>14</v>
      </c>
      <c r="G80">
        <v>9411.0049999999992</v>
      </c>
    </row>
    <row r="81" spans="1:7" x14ac:dyDescent="0.3">
      <c r="A81">
        <v>52</v>
      </c>
      <c r="B81" t="s">
        <v>7</v>
      </c>
      <c r="C81">
        <v>38.380000000000003</v>
      </c>
      <c r="D81">
        <v>2</v>
      </c>
      <c r="E81" t="s">
        <v>11</v>
      </c>
      <c r="F81" t="s">
        <v>14</v>
      </c>
      <c r="G81">
        <v>11396.9002</v>
      </c>
    </row>
    <row r="82" spans="1:7" x14ac:dyDescent="0.3">
      <c r="A82">
        <v>26</v>
      </c>
      <c r="B82" t="s">
        <v>7</v>
      </c>
      <c r="C82">
        <v>29.355</v>
      </c>
      <c r="D82">
        <v>2</v>
      </c>
      <c r="E82" t="s">
        <v>11</v>
      </c>
      <c r="F82" t="s">
        <v>14</v>
      </c>
      <c r="G82">
        <v>4564.1914500000003</v>
      </c>
    </row>
    <row r="83" spans="1:7" x14ac:dyDescent="0.3">
      <c r="A83">
        <v>38</v>
      </c>
      <c r="B83" t="s">
        <v>7</v>
      </c>
      <c r="C83">
        <v>27.265000000000001</v>
      </c>
      <c r="D83">
        <v>1</v>
      </c>
      <c r="E83" t="s">
        <v>11</v>
      </c>
      <c r="F83" t="s">
        <v>14</v>
      </c>
      <c r="G83">
        <v>6555.07035</v>
      </c>
    </row>
    <row r="84" spans="1:7" x14ac:dyDescent="0.3">
      <c r="A84">
        <v>18</v>
      </c>
      <c r="B84" t="s">
        <v>7</v>
      </c>
      <c r="C84">
        <v>29.164999999999999</v>
      </c>
      <c r="D84">
        <v>0</v>
      </c>
      <c r="E84" t="s">
        <v>11</v>
      </c>
      <c r="F84" t="s">
        <v>14</v>
      </c>
      <c r="G84">
        <v>7323.7348190000002</v>
      </c>
    </row>
    <row r="85" spans="1:7" x14ac:dyDescent="0.3">
      <c r="A85">
        <v>21</v>
      </c>
      <c r="B85" t="s">
        <v>7</v>
      </c>
      <c r="C85">
        <v>16.815000000000001</v>
      </c>
      <c r="D85">
        <v>1</v>
      </c>
      <c r="E85" t="s">
        <v>11</v>
      </c>
      <c r="F85" t="s">
        <v>14</v>
      </c>
      <c r="G85">
        <v>3167.4558499999998</v>
      </c>
    </row>
    <row r="86" spans="1:7" x14ac:dyDescent="0.3">
      <c r="A86">
        <v>21</v>
      </c>
      <c r="B86" t="s">
        <v>7</v>
      </c>
      <c r="C86">
        <v>22.135000000000002</v>
      </c>
      <c r="D86">
        <v>0</v>
      </c>
      <c r="E86" t="s">
        <v>11</v>
      </c>
      <c r="F86" t="s">
        <v>14</v>
      </c>
      <c r="G86">
        <v>2585.8506499999999</v>
      </c>
    </row>
    <row r="87" spans="1:7" x14ac:dyDescent="0.3">
      <c r="A87">
        <v>36</v>
      </c>
      <c r="B87" t="s">
        <v>7</v>
      </c>
      <c r="C87">
        <v>19.855</v>
      </c>
      <c r="D87">
        <v>0</v>
      </c>
      <c r="E87" t="s">
        <v>11</v>
      </c>
      <c r="F87" t="s">
        <v>14</v>
      </c>
      <c r="G87">
        <v>5458.0464499999998</v>
      </c>
    </row>
    <row r="88" spans="1:7" x14ac:dyDescent="0.3">
      <c r="A88">
        <v>62</v>
      </c>
      <c r="B88" t="s">
        <v>7</v>
      </c>
      <c r="C88">
        <v>38.094999999999999</v>
      </c>
      <c r="D88">
        <v>2</v>
      </c>
      <c r="E88" t="s">
        <v>11</v>
      </c>
      <c r="F88" t="s">
        <v>14</v>
      </c>
      <c r="G88">
        <v>15230.324049999999</v>
      </c>
    </row>
    <row r="89" spans="1:7" x14ac:dyDescent="0.3">
      <c r="A89">
        <v>53</v>
      </c>
      <c r="B89" t="s">
        <v>7</v>
      </c>
      <c r="C89">
        <v>23.75</v>
      </c>
      <c r="D89">
        <v>2</v>
      </c>
      <c r="E89" t="s">
        <v>11</v>
      </c>
      <c r="F89" t="s">
        <v>14</v>
      </c>
      <c r="G89">
        <v>11729.6795</v>
      </c>
    </row>
    <row r="90" spans="1:7" x14ac:dyDescent="0.3">
      <c r="A90">
        <v>28</v>
      </c>
      <c r="B90" t="s">
        <v>7</v>
      </c>
      <c r="C90">
        <v>24.32</v>
      </c>
      <c r="D90">
        <v>1</v>
      </c>
      <c r="E90" t="s">
        <v>11</v>
      </c>
      <c r="F90" t="s">
        <v>14</v>
      </c>
      <c r="G90">
        <v>23288.928400000001</v>
      </c>
    </row>
    <row r="91" spans="1:7" x14ac:dyDescent="0.3">
      <c r="A91">
        <v>18</v>
      </c>
      <c r="B91" t="s">
        <v>7</v>
      </c>
      <c r="C91">
        <v>30.114999999999998</v>
      </c>
      <c r="D91">
        <v>0</v>
      </c>
      <c r="E91" t="s">
        <v>11</v>
      </c>
      <c r="F91" t="s">
        <v>14</v>
      </c>
      <c r="G91">
        <v>2203.4718499999999</v>
      </c>
    </row>
    <row r="92" spans="1:7" x14ac:dyDescent="0.3">
      <c r="A92">
        <v>47</v>
      </c>
      <c r="B92" t="s">
        <v>7</v>
      </c>
      <c r="C92">
        <v>33.344999999999999</v>
      </c>
      <c r="D92">
        <v>0</v>
      </c>
      <c r="E92" t="s">
        <v>11</v>
      </c>
      <c r="F92" t="s">
        <v>14</v>
      </c>
      <c r="G92">
        <v>20878.78443</v>
      </c>
    </row>
    <row r="93" spans="1:7" x14ac:dyDescent="0.3">
      <c r="A93">
        <v>35</v>
      </c>
      <c r="B93" t="s">
        <v>7</v>
      </c>
      <c r="C93">
        <v>23.465</v>
      </c>
      <c r="D93">
        <v>2</v>
      </c>
      <c r="E93" t="s">
        <v>11</v>
      </c>
      <c r="F93" t="s">
        <v>14</v>
      </c>
      <c r="G93">
        <v>6402.2913500000004</v>
      </c>
    </row>
    <row r="94" spans="1:7" x14ac:dyDescent="0.3">
      <c r="A94">
        <v>56</v>
      </c>
      <c r="B94" t="s">
        <v>7</v>
      </c>
      <c r="C94">
        <v>28.31</v>
      </c>
      <c r="D94">
        <v>0</v>
      </c>
      <c r="E94" t="s">
        <v>11</v>
      </c>
      <c r="F94" t="s">
        <v>14</v>
      </c>
      <c r="G94">
        <v>11657.7189</v>
      </c>
    </row>
    <row r="95" spans="1:7" x14ac:dyDescent="0.3">
      <c r="A95">
        <v>31</v>
      </c>
      <c r="B95" t="s">
        <v>7</v>
      </c>
      <c r="C95">
        <v>31.065000000000001</v>
      </c>
      <c r="D95">
        <v>0</v>
      </c>
      <c r="E95" t="s">
        <v>11</v>
      </c>
      <c r="F95" t="s">
        <v>14</v>
      </c>
      <c r="G95">
        <v>4347.0233500000004</v>
      </c>
    </row>
    <row r="96" spans="1:7" x14ac:dyDescent="0.3">
      <c r="A96">
        <v>64</v>
      </c>
      <c r="B96" t="s">
        <v>7</v>
      </c>
      <c r="C96">
        <v>31.824999999999999</v>
      </c>
      <c r="D96">
        <v>2</v>
      </c>
      <c r="E96" t="s">
        <v>11</v>
      </c>
      <c r="F96" t="s">
        <v>14</v>
      </c>
      <c r="G96">
        <v>16069.08475</v>
      </c>
    </row>
    <row r="97" spans="1:7" x14ac:dyDescent="0.3">
      <c r="A97">
        <v>18</v>
      </c>
      <c r="B97" t="s">
        <v>7</v>
      </c>
      <c r="C97">
        <v>25.08</v>
      </c>
      <c r="D97">
        <v>0</v>
      </c>
      <c r="E97" t="s">
        <v>11</v>
      </c>
      <c r="F97" t="s">
        <v>14</v>
      </c>
      <c r="G97">
        <v>2196.4731999999999</v>
      </c>
    </row>
    <row r="98" spans="1:7" x14ac:dyDescent="0.3">
      <c r="A98">
        <v>24</v>
      </c>
      <c r="B98" t="s">
        <v>7</v>
      </c>
      <c r="C98">
        <v>25.27</v>
      </c>
      <c r="D98">
        <v>0</v>
      </c>
      <c r="E98" t="s">
        <v>11</v>
      </c>
      <c r="F98" t="s">
        <v>14</v>
      </c>
      <c r="G98">
        <v>3044.2132999999999</v>
      </c>
    </row>
    <row r="99" spans="1:7" x14ac:dyDescent="0.3">
      <c r="A99">
        <v>30</v>
      </c>
      <c r="B99" t="s">
        <v>7</v>
      </c>
      <c r="C99">
        <v>22.895</v>
      </c>
      <c r="D99">
        <v>1</v>
      </c>
      <c r="E99" t="s">
        <v>11</v>
      </c>
      <c r="F99" t="s">
        <v>14</v>
      </c>
      <c r="G99">
        <v>4719.52405</v>
      </c>
    </row>
    <row r="100" spans="1:7" x14ac:dyDescent="0.3">
      <c r="A100">
        <v>22</v>
      </c>
      <c r="B100" t="s">
        <v>7</v>
      </c>
      <c r="C100">
        <v>23.18</v>
      </c>
      <c r="D100">
        <v>0</v>
      </c>
      <c r="E100" t="s">
        <v>11</v>
      </c>
      <c r="F100" t="s">
        <v>14</v>
      </c>
      <c r="G100">
        <v>2731.9122000000002</v>
      </c>
    </row>
    <row r="101" spans="1:7" x14ac:dyDescent="0.3">
      <c r="A101">
        <v>50</v>
      </c>
      <c r="B101" t="s">
        <v>7</v>
      </c>
      <c r="C101">
        <v>27.36</v>
      </c>
      <c r="D101">
        <v>0</v>
      </c>
      <c r="E101" t="s">
        <v>11</v>
      </c>
      <c r="F101" t="s">
        <v>14</v>
      </c>
      <c r="G101">
        <v>25656.575260000001</v>
      </c>
    </row>
    <row r="102" spans="1:7" x14ac:dyDescent="0.3">
      <c r="A102">
        <v>51</v>
      </c>
      <c r="B102" t="s">
        <v>7</v>
      </c>
      <c r="C102">
        <v>33.914999999999999</v>
      </c>
      <c r="D102">
        <v>0</v>
      </c>
      <c r="E102" t="s">
        <v>11</v>
      </c>
      <c r="F102" t="s">
        <v>14</v>
      </c>
      <c r="G102">
        <v>9866.3048500000004</v>
      </c>
    </row>
    <row r="103" spans="1:7" x14ac:dyDescent="0.3">
      <c r="A103">
        <v>62</v>
      </c>
      <c r="B103" t="s">
        <v>7</v>
      </c>
      <c r="C103">
        <v>31.73</v>
      </c>
      <c r="D103">
        <v>0</v>
      </c>
      <c r="E103" t="s">
        <v>11</v>
      </c>
      <c r="F103" t="s">
        <v>14</v>
      </c>
      <c r="G103">
        <v>14043.476699999999</v>
      </c>
    </row>
    <row r="104" spans="1:7" x14ac:dyDescent="0.3">
      <c r="A104">
        <v>44</v>
      </c>
      <c r="B104" t="s">
        <v>7</v>
      </c>
      <c r="C104">
        <v>36.479999999999997</v>
      </c>
      <c r="D104">
        <v>0</v>
      </c>
      <c r="E104" t="s">
        <v>11</v>
      </c>
      <c r="F104" t="s">
        <v>14</v>
      </c>
      <c r="G104">
        <v>12797.20962</v>
      </c>
    </row>
    <row r="105" spans="1:7" x14ac:dyDescent="0.3">
      <c r="A105">
        <v>45</v>
      </c>
      <c r="B105" t="s">
        <v>7</v>
      </c>
      <c r="C105">
        <v>25.175000000000001</v>
      </c>
      <c r="D105">
        <v>2</v>
      </c>
      <c r="E105" t="s">
        <v>11</v>
      </c>
      <c r="F105" t="s">
        <v>14</v>
      </c>
      <c r="G105">
        <v>9095.0682500000003</v>
      </c>
    </row>
    <row r="106" spans="1:7" x14ac:dyDescent="0.3">
      <c r="A106">
        <v>22</v>
      </c>
      <c r="B106" t="s">
        <v>7</v>
      </c>
      <c r="C106">
        <v>34.58</v>
      </c>
      <c r="D106">
        <v>2</v>
      </c>
      <c r="E106" t="s">
        <v>11</v>
      </c>
      <c r="F106" t="s">
        <v>14</v>
      </c>
      <c r="G106">
        <v>3925.7582000000002</v>
      </c>
    </row>
    <row r="107" spans="1:7" x14ac:dyDescent="0.3">
      <c r="A107">
        <v>25</v>
      </c>
      <c r="B107" t="s">
        <v>7</v>
      </c>
      <c r="C107">
        <v>28.594999999999999</v>
      </c>
      <c r="D107">
        <v>0</v>
      </c>
      <c r="E107" t="s">
        <v>11</v>
      </c>
      <c r="F107" t="s">
        <v>14</v>
      </c>
      <c r="G107">
        <v>3213.6220499999999</v>
      </c>
    </row>
    <row r="108" spans="1:7" x14ac:dyDescent="0.3">
      <c r="A108">
        <v>39</v>
      </c>
      <c r="B108" t="s">
        <v>7</v>
      </c>
      <c r="C108">
        <v>22.8</v>
      </c>
      <c r="D108">
        <v>3</v>
      </c>
      <c r="E108" t="s">
        <v>11</v>
      </c>
      <c r="F108" t="s">
        <v>14</v>
      </c>
      <c r="G108">
        <v>7985.8149999999996</v>
      </c>
    </row>
    <row r="109" spans="1:7" x14ac:dyDescent="0.3">
      <c r="A109">
        <v>25</v>
      </c>
      <c r="B109" t="s">
        <v>7</v>
      </c>
      <c r="C109">
        <v>41.325000000000003</v>
      </c>
      <c r="D109">
        <v>0</v>
      </c>
      <c r="E109" t="s">
        <v>11</v>
      </c>
      <c r="F109" t="s">
        <v>14</v>
      </c>
      <c r="G109">
        <v>17878.900679999999</v>
      </c>
    </row>
    <row r="110" spans="1:7" x14ac:dyDescent="0.3">
      <c r="A110">
        <v>54</v>
      </c>
      <c r="B110" t="s">
        <v>7</v>
      </c>
      <c r="C110">
        <v>32.68</v>
      </c>
      <c r="D110">
        <v>0</v>
      </c>
      <c r="E110" t="s">
        <v>11</v>
      </c>
      <c r="F110" t="s">
        <v>14</v>
      </c>
      <c r="G110">
        <v>10923.933199999999</v>
      </c>
    </row>
    <row r="111" spans="1:7" x14ac:dyDescent="0.3">
      <c r="A111">
        <v>62</v>
      </c>
      <c r="B111" t="s">
        <v>7</v>
      </c>
      <c r="C111">
        <v>36.86</v>
      </c>
      <c r="D111">
        <v>1</v>
      </c>
      <c r="E111" t="s">
        <v>11</v>
      </c>
      <c r="F111" t="s">
        <v>14</v>
      </c>
      <c r="G111">
        <v>31620.001059999999</v>
      </c>
    </row>
    <row r="112" spans="1:7" x14ac:dyDescent="0.3">
      <c r="A112">
        <v>57</v>
      </c>
      <c r="B112" t="s">
        <v>7</v>
      </c>
      <c r="C112">
        <v>34.295000000000002</v>
      </c>
      <c r="D112">
        <v>2</v>
      </c>
      <c r="E112" t="s">
        <v>11</v>
      </c>
      <c r="F112" t="s">
        <v>14</v>
      </c>
      <c r="G112">
        <v>13224.057049999999</v>
      </c>
    </row>
    <row r="113" spans="1:7" x14ac:dyDescent="0.3">
      <c r="A113">
        <v>48</v>
      </c>
      <c r="B113" t="s">
        <v>7</v>
      </c>
      <c r="C113">
        <v>27.265000000000001</v>
      </c>
      <c r="D113">
        <v>1</v>
      </c>
      <c r="E113" t="s">
        <v>11</v>
      </c>
      <c r="F113" t="s">
        <v>14</v>
      </c>
      <c r="G113">
        <v>9447.2503500000003</v>
      </c>
    </row>
    <row r="114" spans="1:7" x14ac:dyDescent="0.3">
      <c r="A114">
        <v>25</v>
      </c>
      <c r="B114" t="s">
        <v>7</v>
      </c>
      <c r="C114">
        <v>23.465</v>
      </c>
      <c r="D114">
        <v>0</v>
      </c>
      <c r="E114" t="s">
        <v>11</v>
      </c>
      <c r="F114" t="s">
        <v>14</v>
      </c>
      <c r="G114">
        <v>3206.4913499999998</v>
      </c>
    </row>
    <row r="115" spans="1:7" x14ac:dyDescent="0.3">
      <c r="A115">
        <v>18</v>
      </c>
      <c r="B115" t="s">
        <v>7</v>
      </c>
      <c r="C115">
        <v>40.28</v>
      </c>
      <c r="D115">
        <v>0</v>
      </c>
      <c r="E115" t="s">
        <v>11</v>
      </c>
      <c r="F115" t="s">
        <v>14</v>
      </c>
      <c r="G115">
        <v>2217.6012000000001</v>
      </c>
    </row>
    <row r="116" spans="1:7" x14ac:dyDescent="0.3">
      <c r="A116">
        <v>50</v>
      </c>
      <c r="B116" t="s">
        <v>7</v>
      </c>
      <c r="C116">
        <v>27.074999999999999</v>
      </c>
      <c r="D116">
        <v>1</v>
      </c>
      <c r="E116" t="s">
        <v>11</v>
      </c>
      <c r="F116" t="s">
        <v>14</v>
      </c>
      <c r="G116">
        <v>10106.134249999999</v>
      </c>
    </row>
    <row r="117" spans="1:7" x14ac:dyDescent="0.3">
      <c r="A117">
        <v>61</v>
      </c>
      <c r="B117" t="s">
        <v>7</v>
      </c>
      <c r="C117">
        <v>35.909999999999997</v>
      </c>
      <c r="D117">
        <v>0</v>
      </c>
      <c r="E117" t="s">
        <v>11</v>
      </c>
      <c r="F117" t="s">
        <v>14</v>
      </c>
      <c r="G117">
        <v>13635.6379</v>
      </c>
    </row>
    <row r="118" spans="1:7" x14ac:dyDescent="0.3">
      <c r="A118">
        <v>51</v>
      </c>
      <c r="B118" t="s">
        <v>7</v>
      </c>
      <c r="C118">
        <v>40.659999999999997</v>
      </c>
      <c r="D118">
        <v>0</v>
      </c>
      <c r="E118" t="s">
        <v>11</v>
      </c>
      <c r="F118" t="s">
        <v>14</v>
      </c>
      <c r="G118">
        <v>9875.6803999999993</v>
      </c>
    </row>
    <row r="119" spans="1:7" x14ac:dyDescent="0.3">
      <c r="A119">
        <v>46</v>
      </c>
      <c r="B119" t="s">
        <v>7</v>
      </c>
      <c r="C119">
        <v>33.725000000000001</v>
      </c>
      <c r="D119">
        <v>1</v>
      </c>
      <c r="E119" t="s">
        <v>11</v>
      </c>
      <c r="F119" t="s">
        <v>14</v>
      </c>
      <c r="G119">
        <v>8823.9857499999998</v>
      </c>
    </row>
    <row r="120" spans="1:7" x14ac:dyDescent="0.3">
      <c r="A120">
        <v>34</v>
      </c>
      <c r="B120" t="s">
        <v>7</v>
      </c>
      <c r="C120">
        <v>33.25</v>
      </c>
      <c r="D120">
        <v>1</v>
      </c>
      <c r="E120" t="s">
        <v>11</v>
      </c>
      <c r="F120" t="s">
        <v>14</v>
      </c>
      <c r="G120">
        <v>5594.8455000000004</v>
      </c>
    </row>
    <row r="121" spans="1:7" x14ac:dyDescent="0.3">
      <c r="A121">
        <v>27</v>
      </c>
      <c r="B121" t="s">
        <v>7</v>
      </c>
      <c r="C121">
        <v>25.175000000000001</v>
      </c>
      <c r="D121">
        <v>0</v>
      </c>
      <c r="E121" t="s">
        <v>11</v>
      </c>
      <c r="F121" t="s">
        <v>14</v>
      </c>
      <c r="G121">
        <v>3558.6202499999999</v>
      </c>
    </row>
    <row r="122" spans="1:7" x14ac:dyDescent="0.3">
      <c r="A122">
        <v>18</v>
      </c>
      <c r="B122" t="s">
        <v>7</v>
      </c>
      <c r="C122">
        <v>33.155000000000001</v>
      </c>
      <c r="D122">
        <v>0</v>
      </c>
      <c r="E122" t="s">
        <v>11</v>
      </c>
      <c r="F122" t="s">
        <v>14</v>
      </c>
      <c r="G122">
        <v>2207.6974500000001</v>
      </c>
    </row>
    <row r="123" spans="1:7" x14ac:dyDescent="0.3">
      <c r="A123">
        <v>34</v>
      </c>
      <c r="B123" t="s">
        <v>7</v>
      </c>
      <c r="C123">
        <v>19</v>
      </c>
      <c r="D123">
        <v>3</v>
      </c>
      <c r="E123" t="s">
        <v>11</v>
      </c>
      <c r="F123" t="s">
        <v>14</v>
      </c>
      <c r="G123">
        <v>6753.0379999999996</v>
      </c>
    </row>
    <row r="124" spans="1:7" x14ac:dyDescent="0.3">
      <c r="A124">
        <v>56</v>
      </c>
      <c r="B124" t="s">
        <v>7</v>
      </c>
      <c r="C124">
        <v>28.594999999999999</v>
      </c>
      <c r="D124">
        <v>0</v>
      </c>
      <c r="E124" t="s">
        <v>11</v>
      </c>
      <c r="F124" t="s">
        <v>14</v>
      </c>
      <c r="G124">
        <v>11658.11505</v>
      </c>
    </row>
    <row r="125" spans="1:7" x14ac:dyDescent="0.3">
      <c r="A125">
        <v>36</v>
      </c>
      <c r="B125" t="s">
        <v>7</v>
      </c>
      <c r="C125">
        <v>27.74</v>
      </c>
      <c r="D125">
        <v>0</v>
      </c>
      <c r="E125" t="s">
        <v>11</v>
      </c>
      <c r="F125" t="s">
        <v>14</v>
      </c>
      <c r="G125">
        <v>5469.0065999999997</v>
      </c>
    </row>
    <row r="126" spans="1:7" x14ac:dyDescent="0.3">
      <c r="A126">
        <v>31</v>
      </c>
      <c r="B126" t="s">
        <v>7</v>
      </c>
      <c r="C126">
        <v>30.495000000000001</v>
      </c>
      <c r="D126">
        <v>3</v>
      </c>
      <c r="E126" t="s">
        <v>11</v>
      </c>
      <c r="F126" t="s">
        <v>14</v>
      </c>
      <c r="G126">
        <v>6113.2310500000003</v>
      </c>
    </row>
    <row r="127" spans="1:7" x14ac:dyDescent="0.3">
      <c r="A127">
        <v>50</v>
      </c>
      <c r="B127" t="s">
        <v>7</v>
      </c>
      <c r="C127">
        <v>44.744999999999997</v>
      </c>
      <c r="D127">
        <v>0</v>
      </c>
      <c r="E127" t="s">
        <v>11</v>
      </c>
      <c r="F127" t="s">
        <v>14</v>
      </c>
      <c r="G127">
        <v>9541.6955500000004</v>
      </c>
    </row>
    <row r="128" spans="1:7" x14ac:dyDescent="0.3">
      <c r="A128">
        <v>53</v>
      </c>
      <c r="B128" t="s">
        <v>7</v>
      </c>
      <c r="C128">
        <v>32.299999999999997</v>
      </c>
      <c r="D128">
        <v>2</v>
      </c>
      <c r="E128" t="s">
        <v>11</v>
      </c>
      <c r="F128" t="s">
        <v>14</v>
      </c>
      <c r="G128">
        <v>29186.482360000002</v>
      </c>
    </row>
    <row r="129" spans="1:7" x14ac:dyDescent="0.3">
      <c r="A129">
        <v>35</v>
      </c>
      <c r="B129" t="s">
        <v>7</v>
      </c>
      <c r="C129">
        <v>38.094999999999999</v>
      </c>
      <c r="D129">
        <v>2</v>
      </c>
      <c r="E129" t="s">
        <v>11</v>
      </c>
      <c r="F129" t="s">
        <v>14</v>
      </c>
      <c r="G129">
        <v>24915.046259999999</v>
      </c>
    </row>
    <row r="130" spans="1:7" x14ac:dyDescent="0.3">
      <c r="A130">
        <v>29</v>
      </c>
      <c r="B130" t="s">
        <v>7</v>
      </c>
      <c r="C130">
        <v>31.16</v>
      </c>
      <c r="D130">
        <v>0</v>
      </c>
      <c r="E130" t="s">
        <v>11</v>
      </c>
      <c r="F130" t="s">
        <v>14</v>
      </c>
      <c r="G130">
        <v>3943.5954000000002</v>
      </c>
    </row>
    <row r="131" spans="1:7" x14ac:dyDescent="0.3">
      <c r="A131">
        <v>40</v>
      </c>
      <c r="B131" t="s">
        <v>7</v>
      </c>
      <c r="C131">
        <v>23.37</v>
      </c>
      <c r="D131">
        <v>3</v>
      </c>
      <c r="E131" t="s">
        <v>11</v>
      </c>
      <c r="F131" t="s">
        <v>14</v>
      </c>
      <c r="G131">
        <v>8252.2842999999993</v>
      </c>
    </row>
    <row r="132" spans="1:7" x14ac:dyDescent="0.3">
      <c r="A132">
        <v>58</v>
      </c>
      <c r="B132" t="s">
        <v>7</v>
      </c>
      <c r="C132">
        <v>32.965000000000003</v>
      </c>
      <c r="D132">
        <v>0</v>
      </c>
      <c r="E132" t="s">
        <v>11</v>
      </c>
      <c r="F132" t="s">
        <v>14</v>
      </c>
      <c r="G132">
        <v>12430.95335</v>
      </c>
    </row>
    <row r="133" spans="1:7" x14ac:dyDescent="0.3">
      <c r="A133">
        <v>48</v>
      </c>
      <c r="B133" t="s">
        <v>7</v>
      </c>
      <c r="C133">
        <v>35.909999999999997</v>
      </c>
      <c r="D133">
        <v>1</v>
      </c>
      <c r="E133" t="s">
        <v>11</v>
      </c>
      <c r="F133" t="s">
        <v>14</v>
      </c>
      <c r="G133">
        <v>26392.260289999998</v>
      </c>
    </row>
    <row r="134" spans="1:7" x14ac:dyDescent="0.3">
      <c r="A134">
        <v>57</v>
      </c>
      <c r="B134" t="s">
        <v>7</v>
      </c>
      <c r="C134">
        <v>28.785</v>
      </c>
      <c r="D134">
        <v>4</v>
      </c>
      <c r="E134" t="s">
        <v>11</v>
      </c>
      <c r="F134" t="s">
        <v>14</v>
      </c>
      <c r="G134">
        <v>14394.398150000001</v>
      </c>
    </row>
    <row r="135" spans="1:7" x14ac:dyDescent="0.3">
      <c r="A135">
        <v>32</v>
      </c>
      <c r="B135" t="s">
        <v>7</v>
      </c>
      <c r="C135">
        <v>31.54</v>
      </c>
      <c r="D135">
        <v>1</v>
      </c>
      <c r="E135" t="s">
        <v>11</v>
      </c>
      <c r="F135" t="s">
        <v>14</v>
      </c>
      <c r="G135">
        <v>5148.5526</v>
      </c>
    </row>
    <row r="136" spans="1:7" x14ac:dyDescent="0.3">
      <c r="A136">
        <v>34</v>
      </c>
      <c r="B136" t="s">
        <v>7</v>
      </c>
      <c r="C136">
        <v>31.92</v>
      </c>
      <c r="D136">
        <v>1</v>
      </c>
      <c r="E136" t="s">
        <v>8</v>
      </c>
      <c r="F136" t="s">
        <v>14</v>
      </c>
      <c r="G136">
        <v>37701.876799999998</v>
      </c>
    </row>
    <row r="137" spans="1:7" x14ac:dyDescent="0.3">
      <c r="A137">
        <v>29</v>
      </c>
      <c r="B137" t="s">
        <v>7</v>
      </c>
      <c r="C137">
        <v>21.85</v>
      </c>
      <c r="D137">
        <v>0</v>
      </c>
      <c r="E137" t="s">
        <v>8</v>
      </c>
      <c r="F137" t="s">
        <v>14</v>
      </c>
      <c r="G137">
        <v>16115.3045</v>
      </c>
    </row>
    <row r="138" spans="1:7" x14ac:dyDescent="0.3">
      <c r="A138">
        <v>18</v>
      </c>
      <c r="B138" t="s">
        <v>7</v>
      </c>
      <c r="C138">
        <v>21.66</v>
      </c>
      <c r="D138">
        <v>0</v>
      </c>
      <c r="E138" t="s">
        <v>8</v>
      </c>
      <c r="F138" t="s">
        <v>14</v>
      </c>
      <c r="G138">
        <v>14283.4594</v>
      </c>
    </row>
    <row r="139" spans="1:7" x14ac:dyDescent="0.3">
      <c r="A139">
        <v>37</v>
      </c>
      <c r="B139" t="s">
        <v>7</v>
      </c>
      <c r="C139">
        <v>25.555</v>
      </c>
      <c r="D139">
        <v>1</v>
      </c>
      <c r="E139" t="s">
        <v>8</v>
      </c>
      <c r="F139" t="s">
        <v>14</v>
      </c>
      <c r="G139">
        <v>20296.863450000001</v>
      </c>
    </row>
    <row r="140" spans="1:7" x14ac:dyDescent="0.3">
      <c r="A140">
        <v>43</v>
      </c>
      <c r="B140" t="s">
        <v>7</v>
      </c>
      <c r="C140">
        <v>25.27</v>
      </c>
      <c r="D140">
        <v>1</v>
      </c>
      <c r="E140" t="s">
        <v>8</v>
      </c>
      <c r="F140" t="s">
        <v>14</v>
      </c>
      <c r="G140">
        <v>21771.3423</v>
      </c>
    </row>
    <row r="141" spans="1:7" x14ac:dyDescent="0.3">
      <c r="A141">
        <v>42</v>
      </c>
      <c r="B141" t="s">
        <v>7</v>
      </c>
      <c r="C141">
        <v>23.37</v>
      </c>
      <c r="D141">
        <v>0</v>
      </c>
      <c r="E141" t="s">
        <v>8</v>
      </c>
      <c r="F141" t="s">
        <v>14</v>
      </c>
      <c r="G141">
        <v>19964.746299999999</v>
      </c>
    </row>
    <row r="142" spans="1:7" x14ac:dyDescent="0.3">
      <c r="A142">
        <v>23</v>
      </c>
      <c r="B142" t="s">
        <v>7</v>
      </c>
      <c r="C142">
        <v>42.75</v>
      </c>
      <c r="D142">
        <v>1</v>
      </c>
      <c r="E142" t="s">
        <v>8</v>
      </c>
      <c r="F142" t="s">
        <v>14</v>
      </c>
      <c r="G142">
        <v>40904.199500000002</v>
      </c>
    </row>
    <row r="143" spans="1:7" x14ac:dyDescent="0.3">
      <c r="A143">
        <v>23</v>
      </c>
      <c r="B143" t="s">
        <v>7</v>
      </c>
      <c r="C143">
        <v>36.67</v>
      </c>
      <c r="D143">
        <v>2</v>
      </c>
      <c r="E143" t="s">
        <v>8</v>
      </c>
      <c r="F143" t="s">
        <v>14</v>
      </c>
      <c r="G143">
        <v>38511.628299999997</v>
      </c>
    </row>
    <row r="144" spans="1:7" x14ac:dyDescent="0.3">
      <c r="A144">
        <v>63</v>
      </c>
      <c r="B144" t="s">
        <v>7</v>
      </c>
      <c r="C144">
        <v>27.74</v>
      </c>
      <c r="D144">
        <v>0</v>
      </c>
      <c r="E144" t="s">
        <v>8</v>
      </c>
      <c r="F144" t="s">
        <v>14</v>
      </c>
      <c r="G144">
        <v>29523.1656</v>
      </c>
    </row>
    <row r="145" spans="1:7" x14ac:dyDescent="0.3">
      <c r="A145">
        <v>33</v>
      </c>
      <c r="B145" t="s">
        <v>7</v>
      </c>
      <c r="C145">
        <v>19.094999999999999</v>
      </c>
      <c r="D145">
        <v>2</v>
      </c>
      <c r="E145" t="s">
        <v>8</v>
      </c>
      <c r="F145" t="s">
        <v>14</v>
      </c>
      <c r="G145">
        <v>16776.304049999999</v>
      </c>
    </row>
    <row r="146" spans="1:7" x14ac:dyDescent="0.3">
      <c r="A146">
        <v>51</v>
      </c>
      <c r="B146" t="s">
        <v>7</v>
      </c>
      <c r="C146">
        <v>34.96</v>
      </c>
      <c r="D146">
        <v>2</v>
      </c>
      <c r="E146" t="s">
        <v>8</v>
      </c>
      <c r="F146" t="s">
        <v>14</v>
      </c>
      <c r="G146">
        <v>44641.197399999997</v>
      </c>
    </row>
    <row r="147" spans="1:7" x14ac:dyDescent="0.3">
      <c r="A147">
        <v>40</v>
      </c>
      <c r="B147" t="s">
        <v>7</v>
      </c>
      <c r="C147">
        <v>28.12</v>
      </c>
      <c r="D147">
        <v>1</v>
      </c>
      <c r="E147" t="s">
        <v>8</v>
      </c>
      <c r="F147" t="s">
        <v>14</v>
      </c>
      <c r="G147">
        <v>22331.566800000001</v>
      </c>
    </row>
    <row r="148" spans="1:7" x14ac:dyDescent="0.3">
      <c r="A148">
        <v>59</v>
      </c>
      <c r="B148" t="s">
        <v>7</v>
      </c>
      <c r="C148">
        <v>36.765000000000001</v>
      </c>
      <c r="D148">
        <v>1</v>
      </c>
      <c r="E148" t="s">
        <v>8</v>
      </c>
      <c r="F148" t="s">
        <v>14</v>
      </c>
      <c r="G148">
        <v>47896.79135</v>
      </c>
    </row>
    <row r="149" spans="1:7" x14ac:dyDescent="0.3">
      <c r="A149">
        <v>53</v>
      </c>
      <c r="B149" t="s">
        <v>7</v>
      </c>
      <c r="C149">
        <v>22.61</v>
      </c>
      <c r="D149">
        <v>3</v>
      </c>
      <c r="E149" t="s">
        <v>8</v>
      </c>
      <c r="F149" t="s">
        <v>14</v>
      </c>
      <c r="G149">
        <v>24873.384900000001</v>
      </c>
    </row>
    <row r="150" spans="1:7" x14ac:dyDescent="0.3">
      <c r="A150">
        <v>61</v>
      </c>
      <c r="B150" t="s">
        <v>7</v>
      </c>
      <c r="C150">
        <v>36.384999999999998</v>
      </c>
      <c r="D150">
        <v>1</v>
      </c>
      <c r="E150" t="s">
        <v>8</v>
      </c>
      <c r="F150" t="s">
        <v>14</v>
      </c>
      <c r="G150">
        <v>48517.563150000002</v>
      </c>
    </row>
    <row r="151" spans="1:7" x14ac:dyDescent="0.3">
      <c r="A151">
        <v>24</v>
      </c>
      <c r="B151" t="s">
        <v>7</v>
      </c>
      <c r="C151">
        <v>20.52</v>
      </c>
      <c r="D151">
        <v>0</v>
      </c>
      <c r="E151" t="s">
        <v>8</v>
      </c>
      <c r="F151" t="s">
        <v>14</v>
      </c>
      <c r="G151">
        <v>14571.890799999999</v>
      </c>
    </row>
    <row r="152" spans="1:7" x14ac:dyDescent="0.3">
      <c r="A152">
        <v>39</v>
      </c>
      <c r="B152" t="s">
        <v>7</v>
      </c>
      <c r="C152">
        <v>24.89</v>
      </c>
      <c r="D152">
        <v>3</v>
      </c>
      <c r="E152" t="s">
        <v>8</v>
      </c>
      <c r="F152" t="s">
        <v>14</v>
      </c>
      <c r="G152">
        <v>21659.930100000001</v>
      </c>
    </row>
    <row r="153" spans="1:7" x14ac:dyDescent="0.3">
      <c r="A153">
        <v>27</v>
      </c>
      <c r="B153" t="s">
        <v>7</v>
      </c>
      <c r="C153">
        <v>17.954999999999998</v>
      </c>
      <c r="D153">
        <v>2</v>
      </c>
      <c r="E153" t="s">
        <v>8</v>
      </c>
      <c r="F153" t="s">
        <v>14</v>
      </c>
      <c r="G153">
        <v>15006.579449999999</v>
      </c>
    </row>
    <row r="154" spans="1:7" x14ac:dyDescent="0.3">
      <c r="A154">
        <v>44</v>
      </c>
      <c r="B154" t="s">
        <v>7</v>
      </c>
      <c r="C154">
        <v>20.234999999999999</v>
      </c>
      <c r="D154">
        <v>1</v>
      </c>
      <c r="E154" t="s">
        <v>8</v>
      </c>
      <c r="F154" t="s">
        <v>14</v>
      </c>
      <c r="G154">
        <v>19594.809649999999</v>
      </c>
    </row>
    <row r="155" spans="1:7" x14ac:dyDescent="0.3">
      <c r="A155">
        <v>26</v>
      </c>
      <c r="B155" t="s">
        <v>7</v>
      </c>
      <c r="C155">
        <v>17.195</v>
      </c>
      <c r="D155">
        <v>2</v>
      </c>
      <c r="E155" t="s">
        <v>8</v>
      </c>
      <c r="F155" t="s">
        <v>14</v>
      </c>
      <c r="G155">
        <v>14455.644050000001</v>
      </c>
    </row>
    <row r="156" spans="1:7" x14ac:dyDescent="0.3">
      <c r="A156">
        <v>43</v>
      </c>
      <c r="B156" t="s">
        <v>7</v>
      </c>
      <c r="C156">
        <v>20.045000000000002</v>
      </c>
      <c r="D156">
        <v>2</v>
      </c>
      <c r="E156" t="s">
        <v>8</v>
      </c>
      <c r="F156" t="s">
        <v>14</v>
      </c>
      <c r="G156">
        <v>19798.054550000001</v>
      </c>
    </row>
    <row r="157" spans="1:7" x14ac:dyDescent="0.3">
      <c r="A157">
        <v>51</v>
      </c>
      <c r="B157" t="s">
        <v>7</v>
      </c>
      <c r="C157">
        <v>37.049999999999997</v>
      </c>
      <c r="D157">
        <v>3</v>
      </c>
      <c r="E157" t="s">
        <v>8</v>
      </c>
      <c r="F157" t="s">
        <v>14</v>
      </c>
      <c r="G157">
        <v>46255.112500000003</v>
      </c>
    </row>
    <row r="158" spans="1:7" x14ac:dyDescent="0.3">
      <c r="A158">
        <v>49</v>
      </c>
      <c r="B158" t="s">
        <v>7</v>
      </c>
      <c r="C158">
        <v>23.844999999999999</v>
      </c>
      <c r="D158">
        <v>3</v>
      </c>
      <c r="E158" t="s">
        <v>8</v>
      </c>
      <c r="F158" t="s">
        <v>14</v>
      </c>
      <c r="G158">
        <v>24106.912550000001</v>
      </c>
    </row>
    <row r="159" spans="1:7" x14ac:dyDescent="0.3">
      <c r="A159">
        <v>46</v>
      </c>
      <c r="B159" t="s">
        <v>7</v>
      </c>
      <c r="C159">
        <v>35.53</v>
      </c>
      <c r="D159">
        <v>0</v>
      </c>
      <c r="E159" t="s">
        <v>8</v>
      </c>
      <c r="F159" t="s">
        <v>14</v>
      </c>
      <c r="G159">
        <v>42111.664700000001</v>
      </c>
    </row>
    <row r="160" spans="1:7" x14ac:dyDescent="0.3">
      <c r="A160">
        <v>37</v>
      </c>
      <c r="B160" t="s">
        <v>7</v>
      </c>
      <c r="C160">
        <v>30.78</v>
      </c>
      <c r="D160">
        <v>0</v>
      </c>
      <c r="E160" t="s">
        <v>8</v>
      </c>
      <c r="F160" t="s">
        <v>14</v>
      </c>
      <c r="G160">
        <v>37270.1512</v>
      </c>
    </row>
    <row r="161" spans="1:7" x14ac:dyDescent="0.3">
      <c r="A161">
        <v>47</v>
      </c>
      <c r="B161" t="s">
        <v>7</v>
      </c>
      <c r="C161">
        <v>26.125</v>
      </c>
      <c r="D161">
        <v>1</v>
      </c>
      <c r="E161" t="s">
        <v>8</v>
      </c>
      <c r="F161" t="s">
        <v>14</v>
      </c>
      <c r="G161">
        <v>23401.30575</v>
      </c>
    </row>
    <row r="162" spans="1:7" x14ac:dyDescent="0.3">
      <c r="A162">
        <v>31</v>
      </c>
      <c r="B162" t="s">
        <v>7</v>
      </c>
      <c r="C162">
        <v>38.094999999999999</v>
      </c>
      <c r="D162">
        <v>1</v>
      </c>
      <c r="E162" t="s">
        <v>8</v>
      </c>
      <c r="F162" t="s">
        <v>14</v>
      </c>
      <c r="G162">
        <v>58571.074480000003</v>
      </c>
    </row>
    <row r="163" spans="1:7" x14ac:dyDescent="0.3">
      <c r="A163">
        <v>29</v>
      </c>
      <c r="B163" t="s">
        <v>7</v>
      </c>
      <c r="C163">
        <v>21.754999999999999</v>
      </c>
      <c r="D163">
        <v>1</v>
      </c>
      <c r="E163" t="s">
        <v>8</v>
      </c>
      <c r="F163" t="s">
        <v>14</v>
      </c>
      <c r="G163">
        <v>16657.71745</v>
      </c>
    </row>
    <row r="164" spans="1:7" x14ac:dyDescent="0.3">
      <c r="A164">
        <v>21</v>
      </c>
      <c r="B164" t="s">
        <v>7</v>
      </c>
      <c r="C164">
        <v>21.85</v>
      </c>
      <c r="D164">
        <v>1</v>
      </c>
      <c r="E164" t="s">
        <v>8</v>
      </c>
      <c r="F164" t="s">
        <v>14</v>
      </c>
      <c r="G164">
        <v>15359.104499999999</v>
      </c>
    </row>
    <row r="165" spans="1:7" x14ac:dyDescent="0.3">
      <c r="A165">
        <v>37</v>
      </c>
      <c r="B165" t="s">
        <v>7</v>
      </c>
      <c r="C165">
        <v>27.74</v>
      </c>
      <c r="D165">
        <v>3</v>
      </c>
      <c r="E165" t="s">
        <v>11</v>
      </c>
      <c r="F165" t="s">
        <v>13</v>
      </c>
      <c r="G165">
        <v>7281.5056000000004</v>
      </c>
    </row>
    <row r="166" spans="1:7" x14ac:dyDescent="0.3">
      <c r="A166">
        <v>60</v>
      </c>
      <c r="B166" t="s">
        <v>7</v>
      </c>
      <c r="C166">
        <v>25.84</v>
      </c>
      <c r="D166">
        <v>0</v>
      </c>
      <c r="E166" t="s">
        <v>11</v>
      </c>
      <c r="F166" t="s">
        <v>13</v>
      </c>
      <c r="G166">
        <v>28923.136920000001</v>
      </c>
    </row>
    <row r="167" spans="1:7" x14ac:dyDescent="0.3">
      <c r="A167">
        <v>39</v>
      </c>
      <c r="B167" t="s">
        <v>7</v>
      </c>
      <c r="C167">
        <v>26.315000000000001</v>
      </c>
      <c r="D167">
        <v>2</v>
      </c>
      <c r="E167" t="s">
        <v>11</v>
      </c>
      <c r="F167" t="s">
        <v>13</v>
      </c>
      <c r="G167">
        <v>7201.7008500000002</v>
      </c>
    </row>
    <row r="168" spans="1:7" x14ac:dyDescent="0.3">
      <c r="A168">
        <v>55</v>
      </c>
      <c r="B168" t="s">
        <v>7</v>
      </c>
      <c r="C168">
        <v>32.774999999999999</v>
      </c>
      <c r="D168">
        <v>2</v>
      </c>
      <c r="E168" t="s">
        <v>11</v>
      </c>
      <c r="F168" t="s">
        <v>13</v>
      </c>
      <c r="G168">
        <v>12268.632250000001</v>
      </c>
    </row>
    <row r="169" spans="1:7" x14ac:dyDescent="0.3">
      <c r="A169">
        <v>33</v>
      </c>
      <c r="B169" t="s">
        <v>7</v>
      </c>
      <c r="C169">
        <v>26.695</v>
      </c>
      <c r="D169">
        <v>0</v>
      </c>
      <c r="E169" t="s">
        <v>11</v>
      </c>
      <c r="F169" t="s">
        <v>13</v>
      </c>
      <c r="G169">
        <v>4571.4130500000001</v>
      </c>
    </row>
    <row r="170" spans="1:7" x14ac:dyDescent="0.3">
      <c r="A170">
        <v>19</v>
      </c>
      <c r="B170" t="s">
        <v>7</v>
      </c>
      <c r="C170">
        <v>25.745000000000001</v>
      </c>
      <c r="D170">
        <v>1</v>
      </c>
      <c r="E170" t="s">
        <v>11</v>
      </c>
      <c r="F170" t="s">
        <v>13</v>
      </c>
      <c r="G170">
        <v>2710.8285500000002</v>
      </c>
    </row>
    <row r="171" spans="1:7" x14ac:dyDescent="0.3">
      <c r="A171">
        <v>62</v>
      </c>
      <c r="B171" t="s">
        <v>7</v>
      </c>
      <c r="C171">
        <v>32.965000000000003</v>
      </c>
      <c r="D171">
        <v>3</v>
      </c>
      <c r="E171" t="s">
        <v>11</v>
      </c>
      <c r="F171" t="s">
        <v>13</v>
      </c>
      <c r="G171">
        <v>15612.19335</v>
      </c>
    </row>
    <row r="172" spans="1:7" x14ac:dyDescent="0.3">
      <c r="A172">
        <v>28</v>
      </c>
      <c r="B172" t="s">
        <v>7</v>
      </c>
      <c r="C172">
        <v>34.770000000000003</v>
      </c>
      <c r="D172">
        <v>0</v>
      </c>
      <c r="E172" t="s">
        <v>11</v>
      </c>
      <c r="F172" t="s">
        <v>13</v>
      </c>
      <c r="G172">
        <v>3556.9223000000002</v>
      </c>
    </row>
    <row r="173" spans="1:7" x14ac:dyDescent="0.3">
      <c r="A173">
        <v>21</v>
      </c>
      <c r="B173" t="s">
        <v>7</v>
      </c>
      <c r="C173">
        <v>33.630000000000003</v>
      </c>
      <c r="D173">
        <v>2</v>
      </c>
      <c r="E173" t="s">
        <v>11</v>
      </c>
      <c r="F173" t="s">
        <v>13</v>
      </c>
      <c r="G173">
        <v>3579.8287</v>
      </c>
    </row>
    <row r="174" spans="1:7" x14ac:dyDescent="0.3">
      <c r="A174">
        <v>25</v>
      </c>
      <c r="B174" t="s">
        <v>7</v>
      </c>
      <c r="C174">
        <v>26.79</v>
      </c>
      <c r="D174">
        <v>2</v>
      </c>
      <c r="E174" t="s">
        <v>11</v>
      </c>
      <c r="F174" t="s">
        <v>13</v>
      </c>
      <c r="G174">
        <v>4189.1130999999996</v>
      </c>
    </row>
    <row r="175" spans="1:7" x14ac:dyDescent="0.3">
      <c r="A175">
        <v>40</v>
      </c>
      <c r="B175" t="s">
        <v>7</v>
      </c>
      <c r="C175">
        <v>28.69</v>
      </c>
      <c r="D175">
        <v>3</v>
      </c>
      <c r="E175" t="s">
        <v>11</v>
      </c>
      <c r="F175" t="s">
        <v>13</v>
      </c>
      <c r="G175">
        <v>8059.6791000000003</v>
      </c>
    </row>
    <row r="176" spans="1:7" x14ac:dyDescent="0.3">
      <c r="A176">
        <v>32</v>
      </c>
      <c r="B176" t="s">
        <v>7</v>
      </c>
      <c r="C176">
        <v>29.734999999999999</v>
      </c>
      <c r="D176">
        <v>0</v>
      </c>
      <c r="E176" t="s">
        <v>11</v>
      </c>
      <c r="F176" t="s">
        <v>13</v>
      </c>
      <c r="G176">
        <v>4357.0436499999996</v>
      </c>
    </row>
    <row r="177" spans="1:7" x14ac:dyDescent="0.3">
      <c r="A177">
        <v>34</v>
      </c>
      <c r="B177" t="s">
        <v>7</v>
      </c>
      <c r="C177">
        <v>37.335000000000001</v>
      </c>
      <c r="D177">
        <v>2</v>
      </c>
      <c r="E177" t="s">
        <v>11</v>
      </c>
      <c r="F177" t="s">
        <v>13</v>
      </c>
      <c r="G177">
        <v>5989.5236500000001</v>
      </c>
    </row>
    <row r="178" spans="1:7" x14ac:dyDescent="0.3">
      <c r="A178">
        <v>25</v>
      </c>
      <c r="B178" t="s">
        <v>7</v>
      </c>
      <c r="C178">
        <v>34.484999999999999</v>
      </c>
      <c r="D178">
        <v>0</v>
      </c>
      <c r="E178" t="s">
        <v>11</v>
      </c>
      <c r="F178" t="s">
        <v>13</v>
      </c>
      <c r="G178">
        <v>3021.80915</v>
      </c>
    </row>
    <row r="179" spans="1:7" x14ac:dyDescent="0.3">
      <c r="A179">
        <v>28</v>
      </c>
      <c r="B179" t="s">
        <v>7</v>
      </c>
      <c r="C179">
        <v>25.934999999999999</v>
      </c>
      <c r="D179">
        <v>1</v>
      </c>
      <c r="E179" t="s">
        <v>11</v>
      </c>
      <c r="F179" t="s">
        <v>13</v>
      </c>
      <c r="G179">
        <v>4133.6416499999996</v>
      </c>
    </row>
    <row r="180" spans="1:7" x14ac:dyDescent="0.3">
      <c r="A180">
        <v>54</v>
      </c>
      <c r="B180" t="s">
        <v>7</v>
      </c>
      <c r="C180">
        <v>27.645</v>
      </c>
      <c r="D180">
        <v>1</v>
      </c>
      <c r="E180" t="s">
        <v>11</v>
      </c>
      <c r="F180" t="s">
        <v>13</v>
      </c>
      <c r="G180">
        <v>11305.93455</v>
      </c>
    </row>
    <row r="181" spans="1:7" x14ac:dyDescent="0.3">
      <c r="A181">
        <v>51</v>
      </c>
      <c r="B181" t="s">
        <v>7</v>
      </c>
      <c r="C181">
        <v>36.384999999999998</v>
      </c>
      <c r="D181">
        <v>3</v>
      </c>
      <c r="E181" t="s">
        <v>11</v>
      </c>
      <c r="F181" t="s">
        <v>13</v>
      </c>
      <c r="G181">
        <v>11436.738149999999</v>
      </c>
    </row>
    <row r="182" spans="1:7" x14ac:dyDescent="0.3">
      <c r="A182">
        <v>41</v>
      </c>
      <c r="B182" t="s">
        <v>7</v>
      </c>
      <c r="C182">
        <v>32.965000000000003</v>
      </c>
      <c r="D182">
        <v>0</v>
      </c>
      <c r="E182" t="s">
        <v>11</v>
      </c>
      <c r="F182" t="s">
        <v>13</v>
      </c>
      <c r="G182">
        <v>6571.0243499999997</v>
      </c>
    </row>
    <row r="183" spans="1:7" x14ac:dyDescent="0.3">
      <c r="A183">
        <v>48</v>
      </c>
      <c r="B183" t="s">
        <v>7</v>
      </c>
      <c r="C183">
        <v>41.23</v>
      </c>
      <c r="D183">
        <v>4</v>
      </c>
      <c r="E183" t="s">
        <v>11</v>
      </c>
      <c r="F183" t="s">
        <v>13</v>
      </c>
      <c r="G183">
        <v>11033.661700000001</v>
      </c>
    </row>
    <row r="184" spans="1:7" x14ac:dyDescent="0.3">
      <c r="A184">
        <v>46</v>
      </c>
      <c r="B184" t="s">
        <v>7</v>
      </c>
      <c r="C184">
        <v>27.74</v>
      </c>
      <c r="D184">
        <v>0</v>
      </c>
      <c r="E184" t="s">
        <v>11</v>
      </c>
      <c r="F184" t="s">
        <v>13</v>
      </c>
      <c r="G184">
        <v>8026.6665999999996</v>
      </c>
    </row>
    <row r="185" spans="1:7" x14ac:dyDescent="0.3">
      <c r="A185">
        <v>55</v>
      </c>
      <c r="B185" t="s">
        <v>7</v>
      </c>
      <c r="C185">
        <v>26.98</v>
      </c>
      <c r="D185">
        <v>0</v>
      </c>
      <c r="E185" t="s">
        <v>11</v>
      </c>
      <c r="F185" t="s">
        <v>13</v>
      </c>
      <c r="G185">
        <v>11082.5772</v>
      </c>
    </row>
    <row r="186" spans="1:7" x14ac:dyDescent="0.3">
      <c r="A186">
        <v>53</v>
      </c>
      <c r="B186" t="s">
        <v>7</v>
      </c>
      <c r="C186">
        <v>24.795000000000002</v>
      </c>
      <c r="D186">
        <v>1</v>
      </c>
      <c r="E186" t="s">
        <v>11</v>
      </c>
      <c r="F186" t="s">
        <v>13</v>
      </c>
      <c r="G186">
        <v>10942.13205</v>
      </c>
    </row>
    <row r="187" spans="1:7" x14ac:dyDescent="0.3">
      <c r="A187">
        <v>22</v>
      </c>
      <c r="B187" t="s">
        <v>7</v>
      </c>
      <c r="C187">
        <v>21.28</v>
      </c>
      <c r="D187">
        <v>3</v>
      </c>
      <c r="E187" t="s">
        <v>11</v>
      </c>
      <c r="F187" t="s">
        <v>13</v>
      </c>
      <c r="G187">
        <v>4296.2712000000001</v>
      </c>
    </row>
    <row r="188" spans="1:7" x14ac:dyDescent="0.3">
      <c r="A188">
        <v>58</v>
      </c>
      <c r="B188" t="s">
        <v>7</v>
      </c>
      <c r="C188">
        <v>28.215</v>
      </c>
      <c r="D188">
        <v>0</v>
      </c>
      <c r="E188" t="s">
        <v>11</v>
      </c>
      <c r="F188" t="s">
        <v>13</v>
      </c>
      <c r="G188">
        <v>12224.350850000001</v>
      </c>
    </row>
    <row r="189" spans="1:7" x14ac:dyDescent="0.3">
      <c r="A189">
        <v>54</v>
      </c>
      <c r="B189" t="s">
        <v>7</v>
      </c>
      <c r="C189">
        <v>24.605</v>
      </c>
      <c r="D189">
        <v>3</v>
      </c>
      <c r="E189" t="s">
        <v>11</v>
      </c>
      <c r="F189" t="s">
        <v>13</v>
      </c>
      <c r="G189">
        <v>12479.70895</v>
      </c>
    </row>
    <row r="190" spans="1:7" x14ac:dyDescent="0.3">
      <c r="A190">
        <v>21</v>
      </c>
      <c r="B190" t="s">
        <v>7</v>
      </c>
      <c r="C190">
        <v>35.72</v>
      </c>
      <c r="D190">
        <v>0</v>
      </c>
      <c r="E190" t="s">
        <v>11</v>
      </c>
      <c r="F190" t="s">
        <v>13</v>
      </c>
      <c r="G190">
        <v>2404.7338</v>
      </c>
    </row>
    <row r="191" spans="1:7" x14ac:dyDescent="0.3">
      <c r="A191">
        <v>38</v>
      </c>
      <c r="B191" t="s">
        <v>7</v>
      </c>
      <c r="C191">
        <v>30.21</v>
      </c>
      <c r="D191">
        <v>3</v>
      </c>
      <c r="E191" t="s">
        <v>11</v>
      </c>
      <c r="F191" t="s">
        <v>13</v>
      </c>
      <c r="G191">
        <v>7537.1638999999996</v>
      </c>
    </row>
    <row r="192" spans="1:7" x14ac:dyDescent="0.3">
      <c r="A192">
        <v>37</v>
      </c>
      <c r="B192" t="s">
        <v>7</v>
      </c>
      <c r="C192">
        <v>23.37</v>
      </c>
      <c r="D192">
        <v>2</v>
      </c>
      <c r="E192" t="s">
        <v>11</v>
      </c>
      <c r="F192" t="s">
        <v>13</v>
      </c>
      <c r="G192">
        <v>6686.4313000000002</v>
      </c>
    </row>
    <row r="193" spans="1:7" x14ac:dyDescent="0.3">
      <c r="A193">
        <v>27</v>
      </c>
      <c r="B193" t="s">
        <v>7</v>
      </c>
      <c r="C193">
        <v>31.254999999999999</v>
      </c>
      <c r="D193">
        <v>1</v>
      </c>
      <c r="E193" t="s">
        <v>11</v>
      </c>
      <c r="F193" t="s">
        <v>13</v>
      </c>
      <c r="G193">
        <v>3956.0714499999999</v>
      </c>
    </row>
    <row r="194" spans="1:7" x14ac:dyDescent="0.3">
      <c r="A194">
        <v>20</v>
      </c>
      <c r="B194" t="s">
        <v>7</v>
      </c>
      <c r="C194">
        <v>28.975000000000001</v>
      </c>
      <c r="D194">
        <v>0</v>
      </c>
      <c r="E194" t="s">
        <v>11</v>
      </c>
      <c r="F194" t="s">
        <v>13</v>
      </c>
      <c r="G194">
        <v>2257.47525</v>
      </c>
    </row>
    <row r="195" spans="1:7" x14ac:dyDescent="0.3">
      <c r="A195">
        <v>47</v>
      </c>
      <c r="B195" t="s">
        <v>7</v>
      </c>
      <c r="C195">
        <v>33.914999999999999</v>
      </c>
      <c r="D195">
        <v>3</v>
      </c>
      <c r="E195" t="s">
        <v>11</v>
      </c>
      <c r="F195" t="s">
        <v>13</v>
      </c>
      <c r="G195">
        <v>10115.00885</v>
      </c>
    </row>
    <row r="196" spans="1:7" x14ac:dyDescent="0.3">
      <c r="A196">
        <v>19</v>
      </c>
      <c r="B196" t="s">
        <v>7</v>
      </c>
      <c r="C196">
        <v>27.93</v>
      </c>
      <c r="D196">
        <v>3</v>
      </c>
      <c r="E196" t="s">
        <v>11</v>
      </c>
      <c r="F196" t="s">
        <v>13</v>
      </c>
      <c r="G196">
        <v>18838.703659999999</v>
      </c>
    </row>
    <row r="197" spans="1:7" x14ac:dyDescent="0.3">
      <c r="A197">
        <v>31</v>
      </c>
      <c r="B197" t="s">
        <v>7</v>
      </c>
      <c r="C197">
        <v>21.754999999999999</v>
      </c>
      <c r="D197">
        <v>0</v>
      </c>
      <c r="E197" t="s">
        <v>11</v>
      </c>
      <c r="F197" t="s">
        <v>13</v>
      </c>
      <c r="G197">
        <v>4134.0824499999999</v>
      </c>
    </row>
    <row r="198" spans="1:7" x14ac:dyDescent="0.3">
      <c r="A198">
        <v>48</v>
      </c>
      <c r="B198" t="s">
        <v>7</v>
      </c>
      <c r="C198">
        <v>36.575000000000003</v>
      </c>
      <c r="D198">
        <v>0</v>
      </c>
      <c r="E198" t="s">
        <v>11</v>
      </c>
      <c r="F198" t="s">
        <v>13</v>
      </c>
      <c r="G198">
        <v>8671.1912499999999</v>
      </c>
    </row>
    <row r="199" spans="1:7" x14ac:dyDescent="0.3">
      <c r="A199">
        <v>31</v>
      </c>
      <c r="B199" t="s">
        <v>7</v>
      </c>
      <c r="C199">
        <v>32.774999999999999</v>
      </c>
      <c r="D199">
        <v>2</v>
      </c>
      <c r="E199" t="s">
        <v>11</v>
      </c>
      <c r="F199" t="s">
        <v>13</v>
      </c>
      <c r="G199">
        <v>5327.4002499999997</v>
      </c>
    </row>
    <row r="200" spans="1:7" x14ac:dyDescent="0.3">
      <c r="A200">
        <v>53</v>
      </c>
      <c r="B200" t="s">
        <v>7</v>
      </c>
      <c r="C200">
        <v>37.43</v>
      </c>
      <c r="D200">
        <v>1</v>
      </c>
      <c r="E200" t="s">
        <v>11</v>
      </c>
      <c r="F200" t="s">
        <v>13</v>
      </c>
      <c r="G200">
        <v>10959.6947</v>
      </c>
    </row>
    <row r="201" spans="1:7" x14ac:dyDescent="0.3">
      <c r="A201">
        <v>62</v>
      </c>
      <c r="B201" t="s">
        <v>7</v>
      </c>
      <c r="C201">
        <v>32.68</v>
      </c>
      <c r="D201">
        <v>0</v>
      </c>
      <c r="E201" t="s">
        <v>11</v>
      </c>
      <c r="F201" t="s">
        <v>13</v>
      </c>
      <c r="G201">
        <v>13844.797200000001</v>
      </c>
    </row>
    <row r="202" spans="1:7" x14ac:dyDescent="0.3">
      <c r="A202">
        <v>24</v>
      </c>
      <c r="B202" t="s">
        <v>7</v>
      </c>
      <c r="C202">
        <v>29.925000000000001</v>
      </c>
      <c r="D202">
        <v>0</v>
      </c>
      <c r="E202" t="s">
        <v>11</v>
      </c>
      <c r="F202" t="s">
        <v>13</v>
      </c>
      <c r="G202">
        <v>2850.6837500000001</v>
      </c>
    </row>
    <row r="203" spans="1:7" x14ac:dyDescent="0.3">
      <c r="A203">
        <v>32</v>
      </c>
      <c r="B203" t="s">
        <v>7</v>
      </c>
      <c r="C203">
        <v>33.155000000000001</v>
      </c>
      <c r="D203">
        <v>3</v>
      </c>
      <c r="E203" t="s">
        <v>11</v>
      </c>
      <c r="F203" t="s">
        <v>13</v>
      </c>
      <c r="G203">
        <v>6128.79745</v>
      </c>
    </row>
    <row r="204" spans="1:7" x14ac:dyDescent="0.3">
      <c r="A204">
        <v>19</v>
      </c>
      <c r="B204" t="s">
        <v>7</v>
      </c>
      <c r="C204">
        <v>31.824999999999999</v>
      </c>
      <c r="D204">
        <v>1</v>
      </c>
      <c r="E204" t="s">
        <v>11</v>
      </c>
      <c r="F204" t="s">
        <v>13</v>
      </c>
      <c r="G204">
        <v>2719.2797500000001</v>
      </c>
    </row>
    <row r="205" spans="1:7" x14ac:dyDescent="0.3">
      <c r="A205">
        <v>24</v>
      </c>
      <c r="B205" t="s">
        <v>7</v>
      </c>
      <c r="C205">
        <v>33.344999999999999</v>
      </c>
      <c r="D205">
        <v>0</v>
      </c>
      <c r="E205" t="s">
        <v>11</v>
      </c>
      <c r="F205" t="s">
        <v>13</v>
      </c>
      <c r="G205">
        <v>2855.4375500000001</v>
      </c>
    </row>
    <row r="206" spans="1:7" x14ac:dyDescent="0.3">
      <c r="A206">
        <v>37</v>
      </c>
      <c r="B206" t="s">
        <v>7</v>
      </c>
      <c r="C206">
        <v>34.104999999999997</v>
      </c>
      <c r="D206">
        <v>1</v>
      </c>
      <c r="E206" t="s">
        <v>11</v>
      </c>
      <c r="F206" t="s">
        <v>13</v>
      </c>
      <c r="G206">
        <v>6112.3529500000004</v>
      </c>
    </row>
    <row r="207" spans="1:7" x14ac:dyDescent="0.3">
      <c r="A207">
        <v>41</v>
      </c>
      <c r="B207" t="s">
        <v>7</v>
      </c>
      <c r="C207">
        <v>28.31</v>
      </c>
      <c r="D207">
        <v>1</v>
      </c>
      <c r="E207" t="s">
        <v>11</v>
      </c>
      <c r="F207" t="s">
        <v>13</v>
      </c>
      <c r="G207">
        <v>7153.5538999999999</v>
      </c>
    </row>
    <row r="208" spans="1:7" x14ac:dyDescent="0.3">
      <c r="A208">
        <v>44</v>
      </c>
      <c r="B208" t="s">
        <v>7</v>
      </c>
      <c r="C208">
        <v>26.41</v>
      </c>
      <c r="D208">
        <v>0</v>
      </c>
      <c r="E208" t="s">
        <v>11</v>
      </c>
      <c r="F208" t="s">
        <v>13</v>
      </c>
      <c r="G208">
        <v>7419.4778999999999</v>
      </c>
    </row>
    <row r="209" spans="1:7" x14ac:dyDescent="0.3">
      <c r="A209">
        <v>43</v>
      </c>
      <c r="B209" t="s">
        <v>7</v>
      </c>
      <c r="C209">
        <v>34.58</v>
      </c>
      <c r="D209">
        <v>1</v>
      </c>
      <c r="E209" t="s">
        <v>11</v>
      </c>
      <c r="F209" t="s">
        <v>13</v>
      </c>
      <c r="G209">
        <v>7727.2532000000001</v>
      </c>
    </row>
    <row r="210" spans="1:7" x14ac:dyDescent="0.3">
      <c r="A210">
        <v>29</v>
      </c>
      <c r="B210" t="s">
        <v>7</v>
      </c>
      <c r="C210">
        <v>32.11</v>
      </c>
      <c r="D210">
        <v>2</v>
      </c>
      <c r="E210" t="s">
        <v>11</v>
      </c>
      <c r="F210" t="s">
        <v>13</v>
      </c>
      <c r="G210">
        <v>4922.9159</v>
      </c>
    </row>
    <row r="211" spans="1:7" x14ac:dyDescent="0.3">
      <c r="A211">
        <v>56</v>
      </c>
      <c r="B211" t="s">
        <v>7</v>
      </c>
      <c r="C211">
        <v>26.6</v>
      </c>
      <c r="D211">
        <v>1</v>
      </c>
      <c r="E211" t="s">
        <v>11</v>
      </c>
      <c r="F211" t="s">
        <v>13</v>
      </c>
      <c r="G211">
        <v>12044.342000000001</v>
      </c>
    </row>
    <row r="212" spans="1:7" x14ac:dyDescent="0.3">
      <c r="A212">
        <v>23</v>
      </c>
      <c r="B212" t="s">
        <v>7</v>
      </c>
      <c r="C212">
        <v>23.18</v>
      </c>
      <c r="D212">
        <v>2</v>
      </c>
      <c r="E212" t="s">
        <v>11</v>
      </c>
      <c r="F212" t="s">
        <v>13</v>
      </c>
      <c r="G212">
        <v>14426.073850000001</v>
      </c>
    </row>
    <row r="213" spans="1:7" x14ac:dyDescent="0.3">
      <c r="A213">
        <v>51</v>
      </c>
      <c r="B213" t="s">
        <v>7</v>
      </c>
      <c r="C213">
        <v>18.05</v>
      </c>
      <c r="D213">
        <v>0</v>
      </c>
      <c r="E213" t="s">
        <v>11</v>
      </c>
      <c r="F213" t="s">
        <v>13</v>
      </c>
      <c r="G213">
        <v>9644.2525000000005</v>
      </c>
    </row>
    <row r="214" spans="1:7" x14ac:dyDescent="0.3">
      <c r="A214">
        <v>19</v>
      </c>
      <c r="B214" t="s">
        <v>7</v>
      </c>
      <c r="C214">
        <v>32.11</v>
      </c>
      <c r="D214">
        <v>0</v>
      </c>
      <c r="E214" t="s">
        <v>11</v>
      </c>
      <c r="F214" t="s">
        <v>13</v>
      </c>
      <c r="G214">
        <v>2130.6759000000002</v>
      </c>
    </row>
    <row r="215" spans="1:7" x14ac:dyDescent="0.3">
      <c r="A215">
        <v>60</v>
      </c>
      <c r="B215" t="s">
        <v>7</v>
      </c>
      <c r="C215">
        <v>24.035</v>
      </c>
      <c r="D215">
        <v>0</v>
      </c>
      <c r="E215" t="s">
        <v>11</v>
      </c>
      <c r="F215" t="s">
        <v>13</v>
      </c>
      <c r="G215">
        <v>13012.20865</v>
      </c>
    </row>
    <row r="216" spans="1:7" x14ac:dyDescent="0.3">
      <c r="A216">
        <v>48</v>
      </c>
      <c r="B216" t="s">
        <v>7</v>
      </c>
      <c r="C216">
        <v>27.93</v>
      </c>
      <c r="D216">
        <v>4</v>
      </c>
      <c r="E216" t="s">
        <v>11</v>
      </c>
      <c r="F216" t="s">
        <v>13</v>
      </c>
      <c r="G216">
        <v>11015.1747</v>
      </c>
    </row>
    <row r="217" spans="1:7" x14ac:dyDescent="0.3">
      <c r="A217">
        <v>35</v>
      </c>
      <c r="B217" t="s">
        <v>7</v>
      </c>
      <c r="C217">
        <v>35.814999999999998</v>
      </c>
      <c r="D217">
        <v>1</v>
      </c>
      <c r="E217" t="s">
        <v>11</v>
      </c>
      <c r="F217" t="s">
        <v>13</v>
      </c>
      <c r="G217">
        <v>5630.4578499999998</v>
      </c>
    </row>
    <row r="218" spans="1:7" x14ac:dyDescent="0.3">
      <c r="A218">
        <v>58</v>
      </c>
      <c r="B218" t="s">
        <v>7</v>
      </c>
      <c r="C218">
        <v>36.479999999999997</v>
      </c>
      <c r="D218">
        <v>0</v>
      </c>
      <c r="E218" t="s">
        <v>11</v>
      </c>
      <c r="F218" t="s">
        <v>13</v>
      </c>
      <c r="G218">
        <v>12235.8392</v>
      </c>
    </row>
    <row r="219" spans="1:7" x14ac:dyDescent="0.3">
      <c r="A219">
        <v>20</v>
      </c>
      <c r="B219" t="s">
        <v>7</v>
      </c>
      <c r="C219">
        <v>31.92</v>
      </c>
      <c r="D219">
        <v>0</v>
      </c>
      <c r="E219" t="s">
        <v>11</v>
      </c>
      <c r="F219" t="s">
        <v>13</v>
      </c>
      <c r="G219">
        <v>2261.5688</v>
      </c>
    </row>
    <row r="220" spans="1:7" x14ac:dyDescent="0.3">
      <c r="A220">
        <v>53</v>
      </c>
      <c r="B220" t="s">
        <v>7</v>
      </c>
      <c r="C220">
        <v>26.6</v>
      </c>
      <c r="D220">
        <v>0</v>
      </c>
      <c r="E220" t="s">
        <v>11</v>
      </c>
      <c r="F220" t="s">
        <v>13</v>
      </c>
      <c r="G220">
        <v>10355.641</v>
      </c>
    </row>
    <row r="221" spans="1:7" x14ac:dyDescent="0.3">
      <c r="A221">
        <v>26</v>
      </c>
      <c r="B221" t="s">
        <v>7</v>
      </c>
      <c r="C221">
        <v>22.23</v>
      </c>
      <c r="D221">
        <v>0</v>
      </c>
      <c r="E221" t="s">
        <v>11</v>
      </c>
      <c r="F221" t="s">
        <v>13</v>
      </c>
      <c r="G221">
        <v>3176.2876999999999</v>
      </c>
    </row>
    <row r="222" spans="1:7" x14ac:dyDescent="0.3">
      <c r="A222">
        <v>50</v>
      </c>
      <c r="B222" t="s">
        <v>7</v>
      </c>
      <c r="C222">
        <v>28.12</v>
      </c>
      <c r="D222">
        <v>3</v>
      </c>
      <c r="E222" t="s">
        <v>11</v>
      </c>
      <c r="F222" t="s">
        <v>13</v>
      </c>
      <c r="G222">
        <v>11085.586799999999</v>
      </c>
    </row>
    <row r="223" spans="1:7" x14ac:dyDescent="0.3">
      <c r="A223">
        <v>52</v>
      </c>
      <c r="B223" t="s">
        <v>7</v>
      </c>
      <c r="C223">
        <v>18.335000000000001</v>
      </c>
      <c r="D223">
        <v>0</v>
      </c>
      <c r="E223" t="s">
        <v>11</v>
      </c>
      <c r="F223" t="s">
        <v>13</v>
      </c>
      <c r="G223">
        <v>9991.0376500000002</v>
      </c>
    </row>
    <row r="224" spans="1:7" x14ac:dyDescent="0.3">
      <c r="A224">
        <v>42</v>
      </c>
      <c r="B224" t="s">
        <v>7</v>
      </c>
      <c r="C224">
        <v>36.195</v>
      </c>
      <c r="D224">
        <v>1</v>
      </c>
      <c r="E224" t="s">
        <v>11</v>
      </c>
      <c r="F224" t="s">
        <v>13</v>
      </c>
      <c r="G224">
        <v>7443.6430499999997</v>
      </c>
    </row>
    <row r="225" spans="1:7" x14ac:dyDescent="0.3">
      <c r="A225">
        <v>63</v>
      </c>
      <c r="B225" t="s">
        <v>7</v>
      </c>
      <c r="C225">
        <v>25.08</v>
      </c>
      <c r="D225">
        <v>0</v>
      </c>
      <c r="E225" t="s">
        <v>11</v>
      </c>
      <c r="F225" t="s">
        <v>13</v>
      </c>
      <c r="G225">
        <v>14254.608200000001</v>
      </c>
    </row>
    <row r="226" spans="1:7" x14ac:dyDescent="0.3">
      <c r="A226">
        <v>30</v>
      </c>
      <c r="B226" t="s">
        <v>7</v>
      </c>
      <c r="C226">
        <v>19.95</v>
      </c>
      <c r="D226">
        <v>3</v>
      </c>
      <c r="E226" t="s">
        <v>11</v>
      </c>
      <c r="F226" t="s">
        <v>13</v>
      </c>
      <c r="G226">
        <v>5693.4305000000004</v>
      </c>
    </row>
    <row r="227" spans="1:7" x14ac:dyDescent="0.3">
      <c r="A227">
        <v>28</v>
      </c>
      <c r="B227" t="s">
        <v>7</v>
      </c>
      <c r="C227">
        <v>26.315000000000001</v>
      </c>
      <c r="D227">
        <v>3</v>
      </c>
      <c r="E227" t="s">
        <v>11</v>
      </c>
      <c r="F227" t="s">
        <v>13</v>
      </c>
      <c r="G227">
        <v>5312.1698500000002</v>
      </c>
    </row>
    <row r="228" spans="1:7" x14ac:dyDescent="0.3">
      <c r="A228">
        <v>50</v>
      </c>
      <c r="B228" t="s">
        <v>7</v>
      </c>
      <c r="C228">
        <v>26.22</v>
      </c>
      <c r="D228">
        <v>2</v>
      </c>
      <c r="E228" t="s">
        <v>11</v>
      </c>
      <c r="F228" t="s">
        <v>13</v>
      </c>
      <c r="G228">
        <v>10493.9458</v>
      </c>
    </row>
    <row r="229" spans="1:7" x14ac:dyDescent="0.3">
      <c r="A229">
        <v>49</v>
      </c>
      <c r="B229" t="s">
        <v>7</v>
      </c>
      <c r="C229">
        <v>29.925000000000001</v>
      </c>
      <c r="D229">
        <v>0</v>
      </c>
      <c r="E229" t="s">
        <v>11</v>
      </c>
      <c r="F229" t="s">
        <v>13</v>
      </c>
      <c r="G229">
        <v>8988.1587500000005</v>
      </c>
    </row>
    <row r="230" spans="1:7" x14ac:dyDescent="0.3">
      <c r="A230">
        <v>62</v>
      </c>
      <c r="B230" t="s">
        <v>7</v>
      </c>
      <c r="C230">
        <v>30.495000000000001</v>
      </c>
      <c r="D230">
        <v>2</v>
      </c>
      <c r="E230" t="s">
        <v>11</v>
      </c>
      <c r="F230" t="s">
        <v>13</v>
      </c>
      <c r="G230">
        <v>15019.760050000001</v>
      </c>
    </row>
    <row r="231" spans="1:7" x14ac:dyDescent="0.3">
      <c r="A231">
        <v>63</v>
      </c>
      <c r="B231" t="s">
        <v>7</v>
      </c>
      <c r="C231">
        <v>26.22</v>
      </c>
      <c r="D231">
        <v>0</v>
      </c>
      <c r="E231" t="s">
        <v>11</v>
      </c>
      <c r="F231" t="s">
        <v>13</v>
      </c>
      <c r="G231">
        <v>14256.192800000001</v>
      </c>
    </row>
    <row r="232" spans="1:7" x14ac:dyDescent="0.3">
      <c r="A232">
        <v>27</v>
      </c>
      <c r="B232" t="s">
        <v>7</v>
      </c>
      <c r="C232">
        <v>21.47</v>
      </c>
      <c r="D232">
        <v>0</v>
      </c>
      <c r="E232" t="s">
        <v>11</v>
      </c>
      <c r="F232" t="s">
        <v>13</v>
      </c>
      <c r="G232">
        <v>3353.4703</v>
      </c>
    </row>
    <row r="233" spans="1:7" x14ac:dyDescent="0.3">
      <c r="A233">
        <v>44</v>
      </c>
      <c r="B233" t="s">
        <v>7</v>
      </c>
      <c r="C233">
        <v>36.954999999999998</v>
      </c>
      <c r="D233">
        <v>1</v>
      </c>
      <c r="E233" t="s">
        <v>11</v>
      </c>
      <c r="F233" t="s">
        <v>13</v>
      </c>
      <c r="G233">
        <v>8023.1354499999998</v>
      </c>
    </row>
    <row r="234" spans="1:7" x14ac:dyDescent="0.3">
      <c r="A234">
        <v>25</v>
      </c>
      <c r="B234" t="s">
        <v>7</v>
      </c>
      <c r="C234">
        <v>22.515000000000001</v>
      </c>
      <c r="D234">
        <v>1</v>
      </c>
      <c r="E234" t="s">
        <v>11</v>
      </c>
      <c r="F234" t="s">
        <v>13</v>
      </c>
      <c r="G234">
        <v>3594.17085</v>
      </c>
    </row>
    <row r="235" spans="1:7" x14ac:dyDescent="0.3">
      <c r="A235">
        <v>48</v>
      </c>
      <c r="B235" t="s">
        <v>7</v>
      </c>
      <c r="C235">
        <v>28.88</v>
      </c>
      <c r="D235">
        <v>1</v>
      </c>
      <c r="E235" t="s">
        <v>11</v>
      </c>
      <c r="F235" t="s">
        <v>13</v>
      </c>
      <c r="G235">
        <v>9249.4951999999994</v>
      </c>
    </row>
    <row r="236" spans="1:7" x14ac:dyDescent="0.3">
      <c r="A236">
        <v>41</v>
      </c>
      <c r="B236" t="s">
        <v>7</v>
      </c>
      <c r="C236">
        <v>33.06</v>
      </c>
      <c r="D236">
        <v>2</v>
      </c>
      <c r="E236" t="s">
        <v>11</v>
      </c>
      <c r="F236" t="s">
        <v>13</v>
      </c>
      <c r="G236">
        <v>7749.1563999999998</v>
      </c>
    </row>
    <row r="237" spans="1:7" x14ac:dyDescent="0.3">
      <c r="A237">
        <v>44</v>
      </c>
      <c r="B237" t="s">
        <v>7</v>
      </c>
      <c r="C237">
        <v>27.645</v>
      </c>
      <c r="D237">
        <v>0</v>
      </c>
      <c r="E237" t="s">
        <v>11</v>
      </c>
      <c r="F237" t="s">
        <v>13</v>
      </c>
      <c r="G237">
        <v>7421.1945500000002</v>
      </c>
    </row>
    <row r="238" spans="1:7" x14ac:dyDescent="0.3">
      <c r="A238">
        <v>21</v>
      </c>
      <c r="B238" t="s">
        <v>7</v>
      </c>
      <c r="C238">
        <v>32.68</v>
      </c>
      <c r="D238">
        <v>2</v>
      </c>
      <c r="E238" t="s">
        <v>11</v>
      </c>
      <c r="F238" t="s">
        <v>13</v>
      </c>
      <c r="G238">
        <v>26018.950519999999</v>
      </c>
    </row>
    <row r="239" spans="1:7" x14ac:dyDescent="0.3">
      <c r="A239">
        <v>54</v>
      </c>
      <c r="B239" t="s">
        <v>7</v>
      </c>
      <c r="C239">
        <v>35.814999999999998</v>
      </c>
      <c r="D239">
        <v>3</v>
      </c>
      <c r="E239" t="s">
        <v>11</v>
      </c>
      <c r="F239" t="s">
        <v>13</v>
      </c>
      <c r="G239">
        <v>12495.290849999999</v>
      </c>
    </row>
    <row r="240" spans="1:7" x14ac:dyDescent="0.3">
      <c r="A240">
        <v>19</v>
      </c>
      <c r="B240" t="s">
        <v>7</v>
      </c>
      <c r="C240">
        <v>24.605</v>
      </c>
      <c r="D240">
        <v>1</v>
      </c>
      <c r="E240" t="s">
        <v>11</v>
      </c>
      <c r="F240" t="s">
        <v>13</v>
      </c>
      <c r="G240">
        <v>2709.24395</v>
      </c>
    </row>
    <row r="241" spans="1:7" x14ac:dyDescent="0.3">
      <c r="A241">
        <v>36</v>
      </c>
      <c r="B241" t="s">
        <v>7</v>
      </c>
      <c r="C241">
        <v>26.885000000000002</v>
      </c>
      <c r="D241">
        <v>0</v>
      </c>
      <c r="E241" t="s">
        <v>11</v>
      </c>
      <c r="F241" t="s">
        <v>13</v>
      </c>
      <c r="G241">
        <v>5267.8181500000001</v>
      </c>
    </row>
    <row r="242" spans="1:7" x14ac:dyDescent="0.3">
      <c r="A242">
        <v>61</v>
      </c>
      <c r="B242" t="s">
        <v>7</v>
      </c>
      <c r="C242">
        <v>31.16</v>
      </c>
      <c r="D242">
        <v>0</v>
      </c>
      <c r="E242" t="s">
        <v>11</v>
      </c>
      <c r="F242" t="s">
        <v>13</v>
      </c>
      <c r="G242">
        <v>13429.035400000001</v>
      </c>
    </row>
    <row r="243" spans="1:7" x14ac:dyDescent="0.3">
      <c r="A243">
        <v>45</v>
      </c>
      <c r="B243" t="s">
        <v>7</v>
      </c>
      <c r="C243">
        <v>27.645</v>
      </c>
      <c r="D243">
        <v>1</v>
      </c>
      <c r="E243" t="s">
        <v>11</v>
      </c>
      <c r="F243" t="s">
        <v>13</v>
      </c>
      <c r="G243">
        <v>28340.188849999999</v>
      </c>
    </row>
    <row r="244" spans="1:7" x14ac:dyDescent="0.3">
      <c r="A244">
        <v>57</v>
      </c>
      <c r="B244" t="s">
        <v>7</v>
      </c>
      <c r="C244">
        <v>23.18</v>
      </c>
      <c r="D244">
        <v>0</v>
      </c>
      <c r="E244" t="s">
        <v>11</v>
      </c>
      <c r="F244" t="s">
        <v>13</v>
      </c>
      <c r="G244">
        <v>11830.6072</v>
      </c>
    </row>
    <row r="245" spans="1:7" x14ac:dyDescent="0.3">
      <c r="A245">
        <v>22</v>
      </c>
      <c r="B245" t="s">
        <v>7</v>
      </c>
      <c r="C245">
        <v>20.234999999999999</v>
      </c>
      <c r="D245">
        <v>0</v>
      </c>
      <c r="E245" t="s">
        <v>11</v>
      </c>
      <c r="F245" t="s">
        <v>13</v>
      </c>
      <c r="G245">
        <v>2527.8186500000002</v>
      </c>
    </row>
    <row r="246" spans="1:7" x14ac:dyDescent="0.3">
      <c r="A246">
        <v>42</v>
      </c>
      <c r="B246" t="s">
        <v>7</v>
      </c>
      <c r="C246">
        <v>24.984999999999999</v>
      </c>
      <c r="D246">
        <v>2</v>
      </c>
      <c r="E246" t="s">
        <v>11</v>
      </c>
      <c r="F246" t="s">
        <v>13</v>
      </c>
      <c r="G246">
        <v>8017.0611500000005</v>
      </c>
    </row>
    <row r="247" spans="1:7" x14ac:dyDescent="0.3">
      <c r="A247">
        <v>61</v>
      </c>
      <c r="B247" t="s">
        <v>7</v>
      </c>
      <c r="C247">
        <v>21.09</v>
      </c>
      <c r="D247">
        <v>0</v>
      </c>
      <c r="E247" t="s">
        <v>11</v>
      </c>
      <c r="F247" t="s">
        <v>13</v>
      </c>
      <c r="G247">
        <v>13415.0381</v>
      </c>
    </row>
    <row r="248" spans="1:7" x14ac:dyDescent="0.3">
      <c r="A248">
        <v>64</v>
      </c>
      <c r="B248" t="s">
        <v>7</v>
      </c>
      <c r="C248">
        <v>30.114999999999998</v>
      </c>
      <c r="D248">
        <v>3</v>
      </c>
      <c r="E248" t="s">
        <v>11</v>
      </c>
      <c r="F248" t="s">
        <v>13</v>
      </c>
      <c r="G248">
        <v>16455.707849999999</v>
      </c>
    </row>
    <row r="249" spans="1:7" x14ac:dyDescent="0.3">
      <c r="A249">
        <v>19</v>
      </c>
      <c r="B249" t="s">
        <v>7</v>
      </c>
      <c r="C249">
        <v>39.615000000000002</v>
      </c>
      <c r="D249">
        <v>1</v>
      </c>
      <c r="E249" t="s">
        <v>11</v>
      </c>
      <c r="F249" t="s">
        <v>13</v>
      </c>
      <c r="G249">
        <v>2730.1078499999999</v>
      </c>
    </row>
    <row r="250" spans="1:7" x14ac:dyDescent="0.3">
      <c r="A250">
        <v>30</v>
      </c>
      <c r="B250" t="s">
        <v>7</v>
      </c>
      <c r="C250">
        <v>28.405000000000001</v>
      </c>
      <c r="D250">
        <v>1</v>
      </c>
      <c r="E250" t="s">
        <v>11</v>
      </c>
      <c r="F250" t="s">
        <v>13</v>
      </c>
      <c r="G250">
        <v>4527.1829500000003</v>
      </c>
    </row>
    <row r="251" spans="1:7" x14ac:dyDescent="0.3">
      <c r="A251">
        <v>39</v>
      </c>
      <c r="B251" t="s">
        <v>7</v>
      </c>
      <c r="C251">
        <v>24.225000000000001</v>
      </c>
      <c r="D251">
        <v>5</v>
      </c>
      <c r="E251" t="s">
        <v>11</v>
      </c>
      <c r="F251" t="s">
        <v>13</v>
      </c>
      <c r="G251">
        <v>8965.7957499999993</v>
      </c>
    </row>
    <row r="252" spans="1:7" x14ac:dyDescent="0.3">
      <c r="A252">
        <v>26</v>
      </c>
      <c r="B252" t="s">
        <v>7</v>
      </c>
      <c r="C252">
        <v>22.61</v>
      </c>
      <c r="D252">
        <v>0</v>
      </c>
      <c r="E252" t="s">
        <v>11</v>
      </c>
      <c r="F252" t="s">
        <v>13</v>
      </c>
      <c r="G252">
        <v>3176.8159000000001</v>
      </c>
    </row>
    <row r="253" spans="1:7" x14ac:dyDescent="0.3">
      <c r="A253">
        <v>24</v>
      </c>
      <c r="B253" t="s">
        <v>7</v>
      </c>
      <c r="C253">
        <v>30.21</v>
      </c>
      <c r="D253">
        <v>3</v>
      </c>
      <c r="E253" t="s">
        <v>11</v>
      </c>
      <c r="F253" t="s">
        <v>13</v>
      </c>
      <c r="G253">
        <v>4618.0798999999997</v>
      </c>
    </row>
    <row r="254" spans="1:7" x14ac:dyDescent="0.3">
      <c r="A254">
        <v>19</v>
      </c>
      <c r="B254" t="s">
        <v>7</v>
      </c>
      <c r="C254">
        <v>37.43</v>
      </c>
      <c r="D254">
        <v>0</v>
      </c>
      <c r="E254" t="s">
        <v>11</v>
      </c>
      <c r="F254" t="s">
        <v>13</v>
      </c>
      <c r="G254">
        <v>2138.0707000000002</v>
      </c>
    </row>
    <row r="255" spans="1:7" x14ac:dyDescent="0.3">
      <c r="A255">
        <v>64</v>
      </c>
      <c r="B255" t="s">
        <v>7</v>
      </c>
      <c r="C255">
        <v>32.965000000000003</v>
      </c>
      <c r="D255">
        <v>0</v>
      </c>
      <c r="E255" t="s">
        <v>11</v>
      </c>
      <c r="F255" t="s">
        <v>13</v>
      </c>
      <c r="G255">
        <v>14692.66935</v>
      </c>
    </row>
    <row r="256" spans="1:7" x14ac:dyDescent="0.3">
      <c r="A256">
        <v>19</v>
      </c>
      <c r="B256" t="s">
        <v>7</v>
      </c>
      <c r="C256">
        <v>35.15</v>
      </c>
      <c r="D256">
        <v>0</v>
      </c>
      <c r="E256" t="s">
        <v>11</v>
      </c>
      <c r="F256" t="s">
        <v>13</v>
      </c>
      <c r="G256">
        <v>2134.9014999999999</v>
      </c>
    </row>
    <row r="257" spans="1:7" x14ac:dyDescent="0.3">
      <c r="A257">
        <v>59</v>
      </c>
      <c r="B257" t="s">
        <v>7</v>
      </c>
      <c r="C257">
        <v>26.695</v>
      </c>
      <c r="D257">
        <v>3</v>
      </c>
      <c r="E257" t="s">
        <v>11</v>
      </c>
      <c r="F257" t="s">
        <v>13</v>
      </c>
      <c r="G257">
        <v>14382.709049999999</v>
      </c>
    </row>
    <row r="258" spans="1:7" x14ac:dyDescent="0.3">
      <c r="A258">
        <v>19</v>
      </c>
      <c r="B258" t="s">
        <v>7</v>
      </c>
      <c r="C258">
        <v>22.515000000000001</v>
      </c>
      <c r="D258">
        <v>0</v>
      </c>
      <c r="E258" t="s">
        <v>11</v>
      </c>
      <c r="F258" t="s">
        <v>13</v>
      </c>
      <c r="G258">
        <v>2117.3388500000001</v>
      </c>
    </row>
    <row r="259" spans="1:7" x14ac:dyDescent="0.3">
      <c r="A259">
        <v>27</v>
      </c>
      <c r="B259" t="s">
        <v>7</v>
      </c>
      <c r="C259">
        <v>30.4</v>
      </c>
      <c r="D259">
        <v>3</v>
      </c>
      <c r="E259" t="s">
        <v>11</v>
      </c>
      <c r="F259" t="s">
        <v>13</v>
      </c>
      <c r="G259">
        <v>18804.752400000001</v>
      </c>
    </row>
    <row r="260" spans="1:7" x14ac:dyDescent="0.3">
      <c r="A260">
        <v>29</v>
      </c>
      <c r="B260" t="s">
        <v>7</v>
      </c>
      <c r="C260">
        <v>20.234999999999999</v>
      </c>
      <c r="D260">
        <v>2</v>
      </c>
      <c r="E260" t="s">
        <v>11</v>
      </c>
      <c r="F260" t="s">
        <v>13</v>
      </c>
      <c r="G260">
        <v>4906.4096499999996</v>
      </c>
    </row>
    <row r="261" spans="1:7" x14ac:dyDescent="0.3">
      <c r="A261">
        <v>36</v>
      </c>
      <c r="B261" t="s">
        <v>7</v>
      </c>
      <c r="C261">
        <v>30.02</v>
      </c>
      <c r="D261">
        <v>0</v>
      </c>
      <c r="E261" t="s">
        <v>11</v>
      </c>
      <c r="F261" t="s">
        <v>13</v>
      </c>
      <c r="G261">
        <v>5272.1758</v>
      </c>
    </row>
    <row r="262" spans="1:7" x14ac:dyDescent="0.3">
      <c r="A262">
        <v>31</v>
      </c>
      <c r="B262" t="s">
        <v>7</v>
      </c>
      <c r="C262">
        <v>32.68</v>
      </c>
      <c r="D262">
        <v>1</v>
      </c>
      <c r="E262" t="s">
        <v>11</v>
      </c>
      <c r="F262" t="s">
        <v>13</v>
      </c>
      <c r="G262">
        <v>4738.2682000000004</v>
      </c>
    </row>
    <row r="263" spans="1:7" x14ac:dyDescent="0.3">
      <c r="A263">
        <v>23</v>
      </c>
      <c r="B263" t="s">
        <v>7</v>
      </c>
      <c r="C263">
        <v>28.12</v>
      </c>
      <c r="D263">
        <v>0</v>
      </c>
      <c r="E263" t="s">
        <v>11</v>
      </c>
      <c r="F263" t="s">
        <v>13</v>
      </c>
      <c r="G263">
        <v>2690.1138000000001</v>
      </c>
    </row>
    <row r="264" spans="1:7" x14ac:dyDescent="0.3">
      <c r="A264">
        <v>56</v>
      </c>
      <c r="B264" t="s">
        <v>7</v>
      </c>
      <c r="C264">
        <v>25.65</v>
      </c>
      <c r="D264">
        <v>0</v>
      </c>
      <c r="E264" t="s">
        <v>11</v>
      </c>
      <c r="F264" t="s">
        <v>13</v>
      </c>
      <c r="G264">
        <v>11454.021500000001</v>
      </c>
    </row>
    <row r="265" spans="1:7" x14ac:dyDescent="0.3">
      <c r="A265">
        <v>55</v>
      </c>
      <c r="B265" t="s">
        <v>7</v>
      </c>
      <c r="C265">
        <v>33.534999999999997</v>
      </c>
      <c r="D265">
        <v>2</v>
      </c>
      <c r="E265" t="s">
        <v>11</v>
      </c>
      <c r="F265" t="s">
        <v>13</v>
      </c>
      <c r="G265">
        <v>12269.68865</v>
      </c>
    </row>
    <row r="266" spans="1:7" x14ac:dyDescent="0.3">
      <c r="A266">
        <v>57</v>
      </c>
      <c r="B266" t="s">
        <v>7</v>
      </c>
      <c r="C266">
        <v>30.495000000000001</v>
      </c>
      <c r="D266">
        <v>0</v>
      </c>
      <c r="E266" t="s">
        <v>11</v>
      </c>
      <c r="F266" t="s">
        <v>13</v>
      </c>
      <c r="G266">
        <v>11840.77505</v>
      </c>
    </row>
    <row r="267" spans="1:7" x14ac:dyDescent="0.3">
      <c r="A267">
        <v>56</v>
      </c>
      <c r="B267" t="s">
        <v>7</v>
      </c>
      <c r="C267">
        <v>33.82</v>
      </c>
      <c r="D267">
        <v>2</v>
      </c>
      <c r="E267" t="s">
        <v>11</v>
      </c>
      <c r="F267" t="s">
        <v>13</v>
      </c>
      <c r="G267">
        <v>12643.3778</v>
      </c>
    </row>
    <row r="268" spans="1:7" x14ac:dyDescent="0.3">
      <c r="A268">
        <v>59</v>
      </c>
      <c r="B268" t="s">
        <v>7</v>
      </c>
      <c r="C268">
        <v>31.35</v>
      </c>
      <c r="D268">
        <v>0</v>
      </c>
      <c r="E268" t="s">
        <v>11</v>
      </c>
      <c r="F268" t="s">
        <v>13</v>
      </c>
      <c r="G268">
        <v>12622.1795</v>
      </c>
    </row>
    <row r="269" spans="1:7" x14ac:dyDescent="0.3">
      <c r="A269">
        <v>28</v>
      </c>
      <c r="B269" t="s">
        <v>7</v>
      </c>
      <c r="C269">
        <v>23.844999999999999</v>
      </c>
      <c r="D269">
        <v>2</v>
      </c>
      <c r="E269" t="s">
        <v>11</v>
      </c>
      <c r="F269" t="s">
        <v>13</v>
      </c>
      <c r="G269">
        <v>4719.7365499999996</v>
      </c>
    </row>
    <row r="270" spans="1:7" x14ac:dyDescent="0.3">
      <c r="A270">
        <v>54</v>
      </c>
      <c r="B270" t="s">
        <v>7</v>
      </c>
      <c r="C270">
        <v>21.47</v>
      </c>
      <c r="D270">
        <v>3</v>
      </c>
      <c r="E270" t="s">
        <v>11</v>
      </c>
      <c r="F270" t="s">
        <v>13</v>
      </c>
      <c r="G270">
        <v>12475.3513</v>
      </c>
    </row>
    <row r="271" spans="1:7" x14ac:dyDescent="0.3">
      <c r="A271">
        <v>36</v>
      </c>
      <c r="B271" t="s">
        <v>7</v>
      </c>
      <c r="C271">
        <v>25.84</v>
      </c>
      <c r="D271">
        <v>0</v>
      </c>
      <c r="E271" t="s">
        <v>11</v>
      </c>
      <c r="F271" t="s">
        <v>13</v>
      </c>
      <c r="G271">
        <v>5266.3656000000001</v>
      </c>
    </row>
    <row r="272" spans="1:7" x14ac:dyDescent="0.3">
      <c r="A272">
        <v>24</v>
      </c>
      <c r="B272" t="s">
        <v>7</v>
      </c>
      <c r="C272">
        <v>24.225000000000001</v>
      </c>
      <c r="D272">
        <v>0</v>
      </c>
      <c r="E272" t="s">
        <v>11</v>
      </c>
      <c r="F272" t="s">
        <v>13</v>
      </c>
      <c r="G272">
        <v>2842.7607499999999</v>
      </c>
    </row>
    <row r="273" spans="1:7" x14ac:dyDescent="0.3">
      <c r="A273">
        <v>33</v>
      </c>
      <c r="B273" t="s">
        <v>7</v>
      </c>
      <c r="C273">
        <v>42.94</v>
      </c>
      <c r="D273">
        <v>3</v>
      </c>
      <c r="E273" t="s">
        <v>11</v>
      </c>
      <c r="F273" t="s">
        <v>13</v>
      </c>
      <c r="G273">
        <v>6360.9935999999998</v>
      </c>
    </row>
    <row r="274" spans="1:7" x14ac:dyDescent="0.3">
      <c r="A274">
        <v>19</v>
      </c>
      <c r="B274" t="s">
        <v>7</v>
      </c>
      <c r="C274">
        <v>36.575000000000003</v>
      </c>
      <c r="D274">
        <v>0</v>
      </c>
      <c r="E274" t="s">
        <v>11</v>
      </c>
      <c r="F274" t="s">
        <v>13</v>
      </c>
      <c r="G274">
        <v>2136.8822500000001</v>
      </c>
    </row>
    <row r="275" spans="1:7" x14ac:dyDescent="0.3">
      <c r="A275">
        <v>40</v>
      </c>
      <c r="B275" t="s">
        <v>7</v>
      </c>
      <c r="C275">
        <v>41.42</v>
      </c>
      <c r="D275">
        <v>1</v>
      </c>
      <c r="E275" t="s">
        <v>11</v>
      </c>
      <c r="F275" t="s">
        <v>13</v>
      </c>
      <c r="G275">
        <v>28476.734990000001</v>
      </c>
    </row>
    <row r="276" spans="1:7" x14ac:dyDescent="0.3">
      <c r="A276">
        <v>45</v>
      </c>
      <c r="B276" t="s">
        <v>7</v>
      </c>
      <c r="C276">
        <v>35.814999999999998</v>
      </c>
      <c r="D276">
        <v>0</v>
      </c>
      <c r="E276" t="s">
        <v>11</v>
      </c>
      <c r="F276" t="s">
        <v>13</v>
      </c>
      <c r="G276">
        <v>7731.8578500000003</v>
      </c>
    </row>
    <row r="277" spans="1:7" x14ac:dyDescent="0.3">
      <c r="A277">
        <v>39</v>
      </c>
      <c r="B277" t="s">
        <v>7</v>
      </c>
      <c r="C277">
        <v>31.92</v>
      </c>
      <c r="D277">
        <v>2</v>
      </c>
      <c r="E277" t="s">
        <v>11</v>
      </c>
      <c r="F277" t="s">
        <v>13</v>
      </c>
      <c r="G277">
        <v>7209.4917999999998</v>
      </c>
    </row>
    <row r="278" spans="1:7" x14ac:dyDescent="0.3">
      <c r="A278">
        <v>19</v>
      </c>
      <c r="B278" t="s">
        <v>7</v>
      </c>
      <c r="C278">
        <v>30.59</v>
      </c>
      <c r="D278">
        <v>2</v>
      </c>
      <c r="E278" t="s">
        <v>11</v>
      </c>
      <c r="F278" t="s">
        <v>13</v>
      </c>
      <c r="G278">
        <v>24059.680189999999</v>
      </c>
    </row>
    <row r="279" spans="1:7" x14ac:dyDescent="0.3">
      <c r="A279">
        <v>38</v>
      </c>
      <c r="B279" t="s">
        <v>7</v>
      </c>
      <c r="C279">
        <v>19.475000000000001</v>
      </c>
      <c r="D279">
        <v>2</v>
      </c>
      <c r="E279" t="s">
        <v>11</v>
      </c>
      <c r="F279" t="s">
        <v>13</v>
      </c>
      <c r="G279">
        <v>6933.2422500000002</v>
      </c>
    </row>
    <row r="280" spans="1:7" x14ac:dyDescent="0.3">
      <c r="A280">
        <v>57</v>
      </c>
      <c r="B280" t="s">
        <v>7</v>
      </c>
      <c r="C280">
        <v>31.824999999999999</v>
      </c>
      <c r="D280">
        <v>0</v>
      </c>
      <c r="E280" t="s">
        <v>11</v>
      </c>
      <c r="F280" t="s">
        <v>13</v>
      </c>
      <c r="G280">
        <v>11842.623750000001</v>
      </c>
    </row>
    <row r="281" spans="1:7" x14ac:dyDescent="0.3">
      <c r="A281">
        <v>52</v>
      </c>
      <c r="B281" t="s">
        <v>7</v>
      </c>
      <c r="C281">
        <v>31.73</v>
      </c>
      <c r="D281">
        <v>2</v>
      </c>
      <c r="E281" t="s">
        <v>11</v>
      </c>
      <c r="F281" t="s">
        <v>13</v>
      </c>
      <c r="G281">
        <v>11187.6567</v>
      </c>
    </row>
    <row r="282" spans="1:7" x14ac:dyDescent="0.3">
      <c r="A282">
        <v>50</v>
      </c>
      <c r="B282" t="s">
        <v>7</v>
      </c>
      <c r="C282">
        <v>30.114999999999998</v>
      </c>
      <c r="D282">
        <v>1</v>
      </c>
      <c r="E282" t="s">
        <v>11</v>
      </c>
      <c r="F282" t="s">
        <v>13</v>
      </c>
      <c r="G282">
        <v>9910.3598500000007</v>
      </c>
    </row>
    <row r="283" spans="1:7" x14ac:dyDescent="0.3">
      <c r="A283">
        <v>46</v>
      </c>
      <c r="B283" t="s">
        <v>7</v>
      </c>
      <c r="C283">
        <v>19.95</v>
      </c>
      <c r="D283">
        <v>2</v>
      </c>
      <c r="E283" t="s">
        <v>11</v>
      </c>
      <c r="F283" t="s">
        <v>13</v>
      </c>
      <c r="G283">
        <v>9193.8384999999998</v>
      </c>
    </row>
    <row r="284" spans="1:7" x14ac:dyDescent="0.3">
      <c r="A284">
        <v>19</v>
      </c>
      <c r="B284" t="s">
        <v>7</v>
      </c>
      <c r="C284">
        <v>30.495000000000001</v>
      </c>
      <c r="D284">
        <v>0</v>
      </c>
      <c r="E284" t="s">
        <v>11</v>
      </c>
      <c r="F284" t="s">
        <v>13</v>
      </c>
      <c r="G284">
        <v>2128.4310500000001</v>
      </c>
    </row>
    <row r="285" spans="1:7" x14ac:dyDescent="0.3">
      <c r="A285">
        <v>38</v>
      </c>
      <c r="B285" t="s">
        <v>7</v>
      </c>
      <c r="C285">
        <v>40.564999999999998</v>
      </c>
      <c r="D285">
        <v>1</v>
      </c>
      <c r="E285" t="s">
        <v>11</v>
      </c>
      <c r="F285" t="s">
        <v>13</v>
      </c>
      <c r="G285">
        <v>6373.55735</v>
      </c>
    </row>
    <row r="286" spans="1:7" x14ac:dyDescent="0.3">
      <c r="A286">
        <v>49</v>
      </c>
      <c r="B286" t="s">
        <v>7</v>
      </c>
      <c r="C286">
        <v>34.770000000000003</v>
      </c>
      <c r="D286">
        <v>1</v>
      </c>
      <c r="E286" t="s">
        <v>11</v>
      </c>
      <c r="F286" t="s">
        <v>13</v>
      </c>
      <c r="G286">
        <v>9583.8932999999997</v>
      </c>
    </row>
    <row r="287" spans="1:7" x14ac:dyDescent="0.3">
      <c r="A287">
        <v>58</v>
      </c>
      <c r="B287" t="s">
        <v>7</v>
      </c>
      <c r="C287">
        <v>27.17</v>
      </c>
      <c r="D287">
        <v>0</v>
      </c>
      <c r="E287" t="s">
        <v>11</v>
      </c>
      <c r="F287" t="s">
        <v>13</v>
      </c>
      <c r="G287">
        <v>12222.898300000001</v>
      </c>
    </row>
    <row r="288" spans="1:7" x14ac:dyDescent="0.3">
      <c r="A288">
        <v>58</v>
      </c>
      <c r="B288" t="s">
        <v>7</v>
      </c>
      <c r="C288">
        <v>33.44</v>
      </c>
      <c r="D288">
        <v>0</v>
      </c>
      <c r="E288" t="s">
        <v>11</v>
      </c>
      <c r="F288" t="s">
        <v>13</v>
      </c>
      <c r="G288">
        <v>12231.613600000001</v>
      </c>
    </row>
    <row r="289" spans="1:7" x14ac:dyDescent="0.3">
      <c r="A289">
        <v>51</v>
      </c>
      <c r="B289" t="s">
        <v>7</v>
      </c>
      <c r="C289">
        <v>36.67</v>
      </c>
      <c r="D289">
        <v>2</v>
      </c>
      <c r="E289" t="s">
        <v>11</v>
      </c>
      <c r="F289" t="s">
        <v>13</v>
      </c>
      <c r="G289">
        <v>10848.1343</v>
      </c>
    </row>
    <row r="290" spans="1:7" x14ac:dyDescent="0.3">
      <c r="A290">
        <v>49</v>
      </c>
      <c r="B290" t="s">
        <v>7</v>
      </c>
      <c r="C290">
        <v>22.61</v>
      </c>
      <c r="D290">
        <v>1</v>
      </c>
      <c r="E290" t="s">
        <v>11</v>
      </c>
      <c r="F290" t="s">
        <v>13</v>
      </c>
      <c r="G290">
        <v>9566.9909000000007</v>
      </c>
    </row>
    <row r="291" spans="1:7" x14ac:dyDescent="0.3">
      <c r="A291">
        <v>52</v>
      </c>
      <c r="B291" t="s">
        <v>7</v>
      </c>
      <c r="C291">
        <v>37.524999999999999</v>
      </c>
      <c r="D291">
        <v>2</v>
      </c>
      <c r="E291" t="s">
        <v>11</v>
      </c>
      <c r="F291" t="s">
        <v>13</v>
      </c>
      <c r="G291">
        <v>33471.971890000001</v>
      </c>
    </row>
    <row r="292" spans="1:7" x14ac:dyDescent="0.3">
      <c r="A292">
        <v>43</v>
      </c>
      <c r="B292" t="s">
        <v>7</v>
      </c>
      <c r="C292">
        <v>30.684999999999999</v>
      </c>
      <c r="D292">
        <v>2</v>
      </c>
      <c r="E292" t="s">
        <v>11</v>
      </c>
      <c r="F292" t="s">
        <v>13</v>
      </c>
      <c r="G292">
        <v>8310.8391499999998</v>
      </c>
    </row>
    <row r="293" spans="1:7" x14ac:dyDescent="0.3">
      <c r="A293">
        <v>47</v>
      </c>
      <c r="B293" t="s">
        <v>7</v>
      </c>
      <c r="C293">
        <v>29.545000000000002</v>
      </c>
      <c r="D293">
        <v>1</v>
      </c>
      <c r="E293" t="s">
        <v>11</v>
      </c>
      <c r="F293" t="s">
        <v>13</v>
      </c>
      <c r="G293">
        <v>8930.9345499999999</v>
      </c>
    </row>
    <row r="294" spans="1:7" x14ac:dyDescent="0.3">
      <c r="A294">
        <v>29</v>
      </c>
      <c r="B294" t="s">
        <v>7</v>
      </c>
      <c r="C294">
        <v>26.03</v>
      </c>
      <c r="D294">
        <v>0</v>
      </c>
      <c r="E294" t="s">
        <v>11</v>
      </c>
      <c r="F294" t="s">
        <v>13</v>
      </c>
      <c r="G294">
        <v>3736.4647</v>
      </c>
    </row>
    <row r="295" spans="1:7" x14ac:dyDescent="0.3">
      <c r="A295">
        <v>34</v>
      </c>
      <c r="B295" t="s">
        <v>7</v>
      </c>
      <c r="C295">
        <v>26.41</v>
      </c>
      <c r="D295">
        <v>1</v>
      </c>
      <c r="E295" t="s">
        <v>11</v>
      </c>
      <c r="F295" t="s">
        <v>13</v>
      </c>
      <c r="G295">
        <v>5385.3379000000004</v>
      </c>
    </row>
    <row r="296" spans="1:7" x14ac:dyDescent="0.3">
      <c r="A296">
        <v>26</v>
      </c>
      <c r="B296" t="s">
        <v>7</v>
      </c>
      <c r="C296">
        <v>40.185000000000002</v>
      </c>
      <c r="D296">
        <v>0</v>
      </c>
      <c r="E296" t="s">
        <v>11</v>
      </c>
      <c r="F296" t="s">
        <v>13</v>
      </c>
      <c r="G296">
        <v>3201.2451500000002</v>
      </c>
    </row>
    <row r="297" spans="1:7" x14ac:dyDescent="0.3">
      <c r="A297">
        <v>19</v>
      </c>
      <c r="B297" t="s">
        <v>7</v>
      </c>
      <c r="C297">
        <v>24.51</v>
      </c>
      <c r="D297">
        <v>1</v>
      </c>
      <c r="E297" t="s">
        <v>11</v>
      </c>
      <c r="F297" t="s">
        <v>13</v>
      </c>
      <c r="G297">
        <v>2709.1118999999999</v>
      </c>
    </row>
    <row r="298" spans="1:7" x14ac:dyDescent="0.3">
      <c r="A298">
        <v>49</v>
      </c>
      <c r="B298" t="s">
        <v>7</v>
      </c>
      <c r="C298">
        <v>23.18</v>
      </c>
      <c r="D298">
        <v>2</v>
      </c>
      <c r="E298" t="s">
        <v>11</v>
      </c>
      <c r="F298" t="s">
        <v>13</v>
      </c>
      <c r="G298">
        <v>10156.7832</v>
      </c>
    </row>
    <row r="299" spans="1:7" x14ac:dyDescent="0.3">
      <c r="A299">
        <v>23</v>
      </c>
      <c r="B299" t="s">
        <v>7</v>
      </c>
      <c r="C299">
        <v>34.96</v>
      </c>
      <c r="D299">
        <v>3</v>
      </c>
      <c r="E299" t="s">
        <v>11</v>
      </c>
      <c r="F299" t="s">
        <v>13</v>
      </c>
      <c r="G299">
        <v>4466.6214</v>
      </c>
    </row>
    <row r="300" spans="1:7" x14ac:dyDescent="0.3">
      <c r="A300">
        <v>61</v>
      </c>
      <c r="B300" t="s">
        <v>7</v>
      </c>
      <c r="C300">
        <v>29.07</v>
      </c>
      <c r="D300">
        <v>0</v>
      </c>
      <c r="E300" t="s">
        <v>8</v>
      </c>
      <c r="F300" t="s">
        <v>13</v>
      </c>
      <c r="G300">
        <v>29141.3603</v>
      </c>
    </row>
    <row r="301" spans="1:7" x14ac:dyDescent="0.3">
      <c r="A301">
        <v>30</v>
      </c>
      <c r="B301" t="s">
        <v>7</v>
      </c>
      <c r="C301">
        <v>23.655000000000001</v>
      </c>
      <c r="D301">
        <v>3</v>
      </c>
      <c r="E301" t="s">
        <v>8</v>
      </c>
      <c r="F301" t="s">
        <v>13</v>
      </c>
      <c r="G301">
        <v>18765.87545</v>
      </c>
    </row>
    <row r="302" spans="1:7" x14ac:dyDescent="0.3">
      <c r="A302">
        <v>47</v>
      </c>
      <c r="B302" t="s">
        <v>7</v>
      </c>
      <c r="C302">
        <v>27.645</v>
      </c>
      <c r="D302">
        <v>2</v>
      </c>
      <c r="E302" t="s">
        <v>8</v>
      </c>
      <c r="F302" t="s">
        <v>13</v>
      </c>
      <c r="G302">
        <v>24535.698550000001</v>
      </c>
    </row>
    <row r="303" spans="1:7" x14ac:dyDescent="0.3">
      <c r="A303">
        <v>20</v>
      </c>
      <c r="B303" t="s">
        <v>7</v>
      </c>
      <c r="C303">
        <v>22.42</v>
      </c>
      <c r="D303">
        <v>0</v>
      </c>
      <c r="E303" t="s">
        <v>8</v>
      </c>
      <c r="F303" t="s">
        <v>13</v>
      </c>
      <c r="G303">
        <v>14711.7438</v>
      </c>
    </row>
    <row r="304" spans="1:7" x14ac:dyDescent="0.3">
      <c r="A304">
        <v>57</v>
      </c>
      <c r="B304" t="s">
        <v>7</v>
      </c>
      <c r="C304">
        <v>31.16</v>
      </c>
      <c r="D304">
        <v>0</v>
      </c>
      <c r="E304" t="s">
        <v>8</v>
      </c>
      <c r="F304" t="s">
        <v>13</v>
      </c>
      <c r="G304">
        <v>43578.939400000003</v>
      </c>
    </row>
    <row r="305" spans="1:7" x14ac:dyDescent="0.3">
      <c r="A305">
        <v>32</v>
      </c>
      <c r="B305" t="s">
        <v>7</v>
      </c>
      <c r="C305">
        <v>17.765000000000001</v>
      </c>
      <c r="D305">
        <v>2</v>
      </c>
      <c r="E305" t="s">
        <v>8</v>
      </c>
      <c r="F305" t="s">
        <v>13</v>
      </c>
      <c r="G305">
        <v>32734.186300000001</v>
      </c>
    </row>
    <row r="306" spans="1:7" x14ac:dyDescent="0.3">
      <c r="A306">
        <v>19</v>
      </c>
      <c r="B306" t="s">
        <v>7</v>
      </c>
      <c r="C306">
        <v>30.02</v>
      </c>
      <c r="D306">
        <v>0</v>
      </c>
      <c r="E306" t="s">
        <v>8</v>
      </c>
      <c r="F306" t="s">
        <v>13</v>
      </c>
      <c r="G306">
        <v>33307.550799999997</v>
      </c>
    </row>
    <row r="307" spans="1:7" x14ac:dyDescent="0.3">
      <c r="A307">
        <v>42</v>
      </c>
      <c r="B307" t="s">
        <v>7</v>
      </c>
      <c r="C307">
        <v>26.6</v>
      </c>
      <c r="D307">
        <v>0</v>
      </c>
      <c r="E307" t="s">
        <v>8</v>
      </c>
      <c r="F307" t="s">
        <v>13</v>
      </c>
      <c r="G307">
        <v>21348.705999999998</v>
      </c>
    </row>
    <row r="308" spans="1:7" x14ac:dyDescent="0.3">
      <c r="A308">
        <v>52</v>
      </c>
      <c r="B308" t="s">
        <v>7</v>
      </c>
      <c r="C308">
        <v>24.13</v>
      </c>
      <c r="D308">
        <v>1</v>
      </c>
      <c r="E308" t="s">
        <v>8</v>
      </c>
      <c r="F308" t="s">
        <v>13</v>
      </c>
      <c r="G308">
        <v>23887.662700000001</v>
      </c>
    </row>
    <row r="309" spans="1:7" x14ac:dyDescent="0.3">
      <c r="A309">
        <v>19</v>
      </c>
      <c r="B309" t="s">
        <v>7</v>
      </c>
      <c r="C309">
        <v>32.49</v>
      </c>
      <c r="D309">
        <v>0</v>
      </c>
      <c r="E309" t="s">
        <v>8</v>
      </c>
      <c r="F309" t="s">
        <v>13</v>
      </c>
      <c r="G309">
        <v>36898.733079999998</v>
      </c>
    </row>
    <row r="310" spans="1:7" x14ac:dyDescent="0.3">
      <c r="A310">
        <v>53</v>
      </c>
      <c r="B310" t="s">
        <v>7</v>
      </c>
      <c r="C310">
        <v>36.86</v>
      </c>
      <c r="D310">
        <v>3</v>
      </c>
      <c r="E310" t="s">
        <v>8</v>
      </c>
      <c r="F310" t="s">
        <v>13</v>
      </c>
      <c r="G310">
        <v>46661.4424</v>
      </c>
    </row>
    <row r="311" spans="1:7" x14ac:dyDescent="0.3">
      <c r="A311">
        <v>22</v>
      </c>
      <c r="B311" t="s">
        <v>7</v>
      </c>
      <c r="C311">
        <v>30.4</v>
      </c>
      <c r="D311">
        <v>0</v>
      </c>
      <c r="E311" t="s">
        <v>8</v>
      </c>
      <c r="F311" t="s">
        <v>13</v>
      </c>
      <c r="G311">
        <v>33907.548000000003</v>
      </c>
    </row>
    <row r="312" spans="1:7" x14ac:dyDescent="0.3">
      <c r="A312">
        <v>43</v>
      </c>
      <c r="B312" t="s">
        <v>7</v>
      </c>
      <c r="C312">
        <v>24.7</v>
      </c>
      <c r="D312">
        <v>2</v>
      </c>
      <c r="E312" t="s">
        <v>8</v>
      </c>
      <c r="F312" t="s">
        <v>13</v>
      </c>
      <c r="G312">
        <v>21880.82</v>
      </c>
    </row>
    <row r="313" spans="1:7" x14ac:dyDescent="0.3">
      <c r="A313">
        <v>35</v>
      </c>
      <c r="B313" t="s">
        <v>7</v>
      </c>
      <c r="C313">
        <v>28.024999999999999</v>
      </c>
      <c r="D313">
        <v>0</v>
      </c>
      <c r="E313" t="s">
        <v>8</v>
      </c>
      <c r="F313" t="s">
        <v>13</v>
      </c>
      <c r="G313">
        <v>20234.854749999999</v>
      </c>
    </row>
    <row r="314" spans="1:7" x14ac:dyDescent="0.3">
      <c r="A314">
        <v>45</v>
      </c>
      <c r="B314" t="s">
        <v>7</v>
      </c>
      <c r="C314">
        <v>30.495000000000001</v>
      </c>
      <c r="D314">
        <v>1</v>
      </c>
      <c r="E314" t="s">
        <v>8</v>
      </c>
      <c r="F314" t="s">
        <v>13</v>
      </c>
      <c r="G314">
        <v>39725.518049999999</v>
      </c>
    </row>
    <row r="315" spans="1:7" x14ac:dyDescent="0.3">
      <c r="A315">
        <v>46</v>
      </c>
      <c r="B315" t="s">
        <v>7</v>
      </c>
      <c r="C315">
        <v>23.655000000000001</v>
      </c>
      <c r="D315">
        <v>1</v>
      </c>
      <c r="E315" t="s">
        <v>8</v>
      </c>
      <c r="F315" t="s">
        <v>13</v>
      </c>
      <c r="G315">
        <v>21677.283449999999</v>
      </c>
    </row>
    <row r="316" spans="1:7" x14ac:dyDescent="0.3">
      <c r="A316">
        <v>27</v>
      </c>
      <c r="B316" t="s">
        <v>7</v>
      </c>
      <c r="C316">
        <v>20.045000000000002</v>
      </c>
      <c r="D316">
        <v>3</v>
      </c>
      <c r="E316" t="s">
        <v>8</v>
      </c>
      <c r="F316" t="s">
        <v>13</v>
      </c>
      <c r="G316">
        <v>16420.494549999999</v>
      </c>
    </row>
    <row r="317" spans="1:7" x14ac:dyDescent="0.3">
      <c r="A317">
        <v>23</v>
      </c>
      <c r="B317" t="s">
        <v>7</v>
      </c>
      <c r="C317">
        <v>28.31</v>
      </c>
      <c r="D317">
        <v>0</v>
      </c>
      <c r="E317" t="s">
        <v>8</v>
      </c>
      <c r="F317" t="s">
        <v>13</v>
      </c>
      <c r="G317">
        <v>18033.9679</v>
      </c>
    </row>
    <row r="318" spans="1:7" x14ac:dyDescent="0.3">
      <c r="A318">
        <v>43</v>
      </c>
      <c r="B318" t="s">
        <v>7</v>
      </c>
      <c r="C318">
        <v>26.885000000000002</v>
      </c>
      <c r="D318">
        <v>0</v>
      </c>
      <c r="E318" t="s">
        <v>8</v>
      </c>
      <c r="F318" t="s">
        <v>13</v>
      </c>
      <c r="G318">
        <v>21774.32215</v>
      </c>
    </row>
    <row r="319" spans="1:7" x14ac:dyDescent="0.3">
      <c r="A319">
        <v>63</v>
      </c>
      <c r="B319" t="s">
        <v>7</v>
      </c>
      <c r="C319">
        <v>26.98</v>
      </c>
      <c r="D319">
        <v>0</v>
      </c>
      <c r="E319" t="s">
        <v>8</v>
      </c>
      <c r="F319" t="s">
        <v>13</v>
      </c>
      <c r="G319">
        <v>28950.4692</v>
      </c>
    </row>
    <row r="320" spans="1:7" x14ac:dyDescent="0.3">
      <c r="A320">
        <v>64</v>
      </c>
      <c r="B320" t="s">
        <v>7</v>
      </c>
      <c r="C320">
        <v>26.885000000000002</v>
      </c>
      <c r="D320">
        <v>0</v>
      </c>
      <c r="E320" t="s">
        <v>8</v>
      </c>
      <c r="F320" t="s">
        <v>13</v>
      </c>
      <c r="G320">
        <v>29330.98315</v>
      </c>
    </row>
    <row r="321" spans="1:7" x14ac:dyDescent="0.3">
      <c r="A321">
        <v>33</v>
      </c>
      <c r="B321" t="s">
        <v>7</v>
      </c>
      <c r="C321">
        <v>35.53</v>
      </c>
      <c r="D321">
        <v>0</v>
      </c>
      <c r="E321" t="s">
        <v>8</v>
      </c>
      <c r="F321" t="s">
        <v>13</v>
      </c>
      <c r="G321">
        <v>55135.402090000003</v>
      </c>
    </row>
    <row r="322" spans="1:7" x14ac:dyDescent="0.3">
      <c r="A322">
        <v>19</v>
      </c>
      <c r="B322" t="s">
        <v>7</v>
      </c>
      <c r="C322">
        <v>28.88</v>
      </c>
      <c r="D322">
        <v>0</v>
      </c>
      <c r="E322" t="s">
        <v>8</v>
      </c>
      <c r="F322" t="s">
        <v>13</v>
      </c>
      <c r="G322">
        <v>17748.5062</v>
      </c>
    </row>
    <row r="323" spans="1:7" x14ac:dyDescent="0.3">
      <c r="A323">
        <v>35</v>
      </c>
      <c r="B323" t="s">
        <v>7</v>
      </c>
      <c r="C323">
        <v>34.104999999999997</v>
      </c>
      <c r="D323">
        <v>3</v>
      </c>
      <c r="E323" t="s">
        <v>8</v>
      </c>
      <c r="F323" t="s">
        <v>13</v>
      </c>
      <c r="G323">
        <v>39983.425949999997</v>
      </c>
    </row>
    <row r="324" spans="1:7" x14ac:dyDescent="0.3">
      <c r="A324">
        <v>34</v>
      </c>
      <c r="B324" t="s">
        <v>7</v>
      </c>
      <c r="C324">
        <v>30.21</v>
      </c>
      <c r="D324">
        <v>1</v>
      </c>
      <c r="E324" t="s">
        <v>8</v>
      </c>
      <c r="F324" t="s">
        <v>13</v>
      </c>
      <c r="G324">
        <v>43943.876100000001</v>
      </c>
    </row>
    <row r="325" spans="1:7" x14ac:dyDescent="0.3">
      <c r="A325">
        <v>19</v>
      </c>
      <c r="B325" t="s">
        <v>7</v>
      </c>
      <c r="C325">
        <v>28.31</v>
      </c>
      <c r="D325">
        <v>0</v>
      </c>
      <c r="E325" t="s">
        <v>8</v>
      </c>
      <c r="F325" t="s">
        <v>13</v>
      </c>
      <c r="G325">
        <v>17468.983899999999</v>
      </c>
    </row>
    <row r="326" spans="1:7" x14ac:dyDescent="0.3">
      <c r="A326">
        <v>59</v>
      </c>
      <c r="B326" t="s">
        <v>7</v>
      </c>
      <c r="C326">
        <v>23.655000000000001</v>
      </c>
      <c r="D326">
        <v>0</v>
      </c>
      <c r="E326" t="s">
        <v>8</v>
      </c>
      <c r="F326" t="s">
        <v>13</v>
      </c>
      <c r="G326">
        <v>25678.778450000002</v>
      </c>
    </row>
    <row r="327" spans="1:7" x14ac:dyDescent="0.3">
      <c r="A327">
        <v>44</v>
      </c>
      <c r="B327" t="s">
        <v>7</v>
      </c>
      <c r="C327">
        <v>38.950000000000003</v>
      </c>
      <c r="D327">
        <v>0</v>
      </c>
      <c r="E327" t="s">
        <v>8</v>
      </c>
      <c r="F327" t="s">
        <v>13</v>
      </c>
      <c r="G327">
        <v>42983.458500000001</v>
      </c>
    </row>
    <row r="328" spans="1:7" x14ac:dyDescent="0.3">
      <c r="A328">
        <v>40</v>
      </c>
      <c r="B328" t="s">
        <v>7</v>
      </c>
      <c r="C328">
        <v>32.774999999999999</v>
      </c>
      <c r="D328">
        <v>2</v>
      </c>
      <c r="E328" t="s">
        <v>8</v>
      </c>
      <c r="F328" t="s">
        <v>13</v>
      </c>
      <c r="G328">
        <v>40003.332249999999</v>
      </c>
    </row>
    <row r="329" spans="1:7" x14ac:dyDescent="0.3">
      <c r="A329">
        <v>18</v>
      </c>
      <c r="B329" t="s">
        <v>7</v>
      </c>
      <c r="C329">
        <v>36.85</v>
      </c>
      <c r="D329">
        <v>0</v>
      </c>
      <c r="E329" t="s">
        <v>11</v>
      </c>
      <c r="F329" t="s">
        <v>12</v>
      </c>
      <c r="G329">
        <v>1629.8335</v>
      </c>
    </row>
    <row r="330" spans="1:7" x14ac:dyDescent="0.3">
      <c r="A330">
        <v>31</v>
      </c>
      <c r="B330" t="s">
        <v>7</v>
      </c>
      <c r="C330">
        <v>25.74</v>
      </c>
      <c r="D330">
        <v>0</v>
      </c>
      <c r="E330" t="s">
        <v>11</v>
      </c>
      <c r="F330" t="s">
        <v>12</v>
      </c>
      <c r="G330">
        <v>3756.6215999999999</v>
      </c>
    </row>
    <row r="331" spans="1:7" x14ac:dyDescent="0.3">
      <c r="A331">
        <v>46</v>
      </c>
      <c r="B331" t="s">
        <v>7</v>
      </c>
      <c r="C331">
        <v>33.44</v>
      </c>
      <c r="D331">
        <v>1</v>
      </c>
      <c r="E331" t="s">
        <v>11</v>
      </c>
      <c r="F331" t="s">
        <v>12</v>
      </c>
      <c r="G331">
        <v>8240.5895999999993</v>
      </c>
    </row>
    <row r="332" spans="1:7" x14ac:dyDescent="0.3">
      <c r="A332">
        <v>57</v>
      </c>
      <c r="B332" t="s">
        <v>7</v>
      </c>
      <c r="C332">
        <v>25.74</v>
      </c>
      <c r="D332">
        <v>2</v>
      </c>
      <c r="E332" t="s">
        <v>11</v>
      </c>
      <c r="F332" t="s">
        <v>12</v>
      </c>
      <c r="G332">
        <v>12629.1656</v>
      </c>
    </row>
    <row r="333" spans="1:7" x14ac:dyDescent="0.3">
      <c r="A333">
        <v>56</v>
      </c>
      <c r="B333" t="s">
        <v>7</v>
      </c>
      <c r="C333">
        <v>39.82</v>
      </c>
      <c r="D333">
        <v>0</v>
      </c>
      <c r="E333" t="s">
        <v>11</v>
      </c>
      <c r="F333" t="s">
        <v>12</v>
      </c>
      <c r="G333">
        <v>11090.7178</v>
      </c>
    </row>
    <row r="334" spans="1:7" x14ac:dyDescent="0.3">
      <c r="A334">
        <v>59</v>
      </c>
      <c r="B334" t="s">
        <v>7</v>
      </c>
      <c r="C334">
        <v>27.72</v>
      </c>
      <c r="D334">
        <v>3</v>
      </c>
      <c r="E334" t="s">
        <v>11</v>
      </c>
      <c r="F334" t="s">
        <v>12</v>
      </c>
      <c r="G334">
        <v>14001.1338</v>
      </c>
    </row>
    <row r="335" spans="1:7" x14ac:dyDescent="0.3">
      <c r="A335">
        <v>24</v>
      </c>
      <c r="B335" t="s">
        <v>7</v>
      </c>
      <c r="C335">
        <v>27.72</v>
      </c>
      <c r="D335">
        <v>0</v>
      </c>
      <c r="E335" t="s">
        <v>11</v>
      </c>
      <c r="F335" t="s">
        <v>12</v>
      </c>
      <c r="G335">
        <v>2464.6188000000002</v>
      </c>
    </row>
    <row r="336" spans="1:7" x14ac:dyDescent="0.3">
      <c r="A336">
        <v>28</v>
      </c>
      <c r="B336" t="s">
        <v>7</v>
      </c>
      <c r="C336">
        <v>26.51</v>
      </c>
      <c r="D336">
        <v>2</v>
      </c>
      <c r="E336" t="s">
        <v>11</v>
      </c>
      <c r="F336" t="s">
        <v>12</v>
      </c>
      <c r="G336">
        <v>4340.4408999999996</v>
      </c>
    </row>
    <row r="337" spans="1:7" x14ac:dyDescent="0.3">
      <c r="A337">
        <v>31</v>
      </c>
      <c r="B337" t="s">
        <v>7</v>
      </c>
      <c r="C337">
        <v>36.630000000000003</v>
      </c>
      <c r="D337">
        <v>2</v>
      </c>
      <c r="E337" t="s">
        <v>11</v>
      </c>
      <c r="F337" t="s">
        <v>12</v>
      </c>
      <c r="G337">
        <v>4949.7587000000003</v>
      </c>
    </row>
    <row r="338" spans="1:7" x14ac:dyDescent="0.3">
      <c r="A338">
        <v>37</v>
      </c>
      <c r="B338" t="s">
        <v>7</v>
      </c>
      <c r="C338">
        <v>30.8</v>
      </c>
      <c r="D338">
        <v>2</v>
      </c>
      <c r="E338" t="s">
        <v>11</v>
      </c>
      <c r="F338" t="s">
        <v>12</v>
      </c>
      <c r="G338">
        <v>6313.759</v>
      </c>
    </row>
    <row r="339" spans="1:7" x14ac:dyDescent="0.3">
      <c r="A339">
        <v>60</v>
      </c>
      <c r="B339" t="s">
        <v>7</v>
      </c>
      <c r="C339">
        <v>24.53</v>
      </c>
      <c r="D339">
        <v>0</v>
      </c>
      <c r="E339" t="s">
        <v>11</v>
      </c>
      <c r="F339" t="s">
        <v>12</v>
      </c>
      <c r="G339">
        <v>12629.896699999999</v>
      </c>
    </row>
    <row r="340" spans="1:7" x14ac:dyDescent="0.3">
      <c r="A340">
        <v>48</v>
      </c>
      <c r="B340" t="s">
        <v>7</v>
      </c>
      <c r="C340">
        <v>33.33</v>
      </c>
      <c r="D340">
        <v>0</v>
      </c>
      <c r="E340" t="s">
        <v>11</v>
      </c>
      <c r="F340" t="s">
        <v>12</v>
      </c>
      <c r="G340">
        <v>8283.6807000000008</v>
      </c>
    </row>
    <row r="341" spans="1:7" x14ac:dyDescent="0.3">
      <c r="A341">
        <v>40</v>
      </c>
      <c r="B341" t="s">
        <v>7</v>
      </c>
      <c r="C341">
        <v>36.19</v>
      </c>
      <c r="D341">
        <v>0</v>
      </c>
      <c r="E341" t="s">
        <v>11</v>
      </c>
      <c r="F341" t="s">
        <v>12</v>
      </c>
      <c r="G341">
        <v>5920.1040999999996</v>
      </c>
    </row>
    <row r="342" spans="1:7" x14ac:dyDescent="0.3">
      <c r="A342">
        <v>41</v>
      </c>
      <c r="B342" t="s">
        <v>7</v>
      </c>
      <c r="C342">
        <v>28.05</v>
      </c>
      <c r="D342">
        <v>1</v>
      </c>
      <c r="E342" t="s">
        <v>11</v>
      </c>
      <c r="F342" t="s">
        <v>12</v>
      </c>
      <c r="G342">
        <v>6770.1925000000001</v>
      </c>
    </row>
    <row r="343" spans="1:7" x14ac:dyDescent="0.3">
      <c r="A343">
        <v>29</v>
      </c>
      <c r="B343" t="s">
        <v>7</v>
      </c>
      <c r="C343">
        <v>29.59</v>
      </c>
      <c r="D343">
        <v>1</v>
      </c>
      <c r="E343" t="s">
        <v>11</v>
      </c>
      <c r="F343" t="s">
        <v>12</v>
      </c>
      <c r="G343">
        <v>3947.4131000000002</v>
      </c>
    </row>
    <row r="344" spans="1:7" x14ac:dyDescent="0.3">
      <c r="A344">
        <v>34</v>
      </c>
      <c r="B344" t="s">
        <v>7</v>
      </c>
      <c r="C344">
        <v>27.72</v>
      </c>
      <c r="D344">
        <v>0</v>
      </c>
      <c r="E344" t="s">
        <v>11</v>
      </c>
      <c r="F344" t="s">
        <v>12</v>
      </c>
      <c r="G344">
        <v>4415.1588000000002</v>
      </c>
    </row>
    <row r="345" spans="1:7" x14ac:dyDescent="0.3">
      <c r="A345">
        <v>21</v>
      </c>
      <c r="B345" t="s">
        <v>7</v>
      </c>
      <c r="C345">
        <v>39.49</v>
      </c>
      <c r="D345">
        <v>0</v>
      </c>
      <c r="E345" t="s">
        <v>11</v>
      </c>
      <c r="F345" t="s">
        <v>12</v>
      </c>
      <c r="G345">
        <v>2026.9740999999999</v>
      </c>
    </row>
    <row r="346" spans="1:7" x14ac:dyDescent="0.3">
      <c r="A346">
        <v>18</v>
      </c>
      <c r="B346" t="s">
        <v>7</v>
      </c>
      <c r="C346">
        <v>39.82</v>
      </c>
      <c r="D346">
        <v>0</v>
      </c>
      <c r="E346" t="s">
        <v>11</v>
      </c>
      <c r="F346" t="s">
        <v>12</v>
      </c>
      <c r="G346">
        <v>1633.9618</v>
      </c>
    </row>
    <row r="347" spans="1:7" x14ac:dyDescent="0.3">
      <c r="A347">
        <v>28</v>
      </c>
      <c r="B347" t="s">
        <v>7</v>
      </c>
      <c r="C347">
        <v>37.619999999999997</v>
      </c>
      <c r="D347">
        <v>1</v>
      </c>
      <c r="E347" t="s">
        <v>11</v>
      </c>
      <c r="F347" t="s">
        <v>12</v>
      </c>
      <c r="G347">
        <v>3766.8838000000001</v>
      </c>
    </row>
    <row r="348" spans="1:7" x14ac:dyDescent="0.3">
      <c r="A348">
        <v>28</v>
      </c>
      <c r="B348" t="s">
        <v>7</v>
      </c>
      <c r="C348">
        <v>33.11</v>
      </c>
      <c r="D348">
        <v>0</v>
      </c>
      <c r="E348" t="s">
        <v>11</v>
      </c>
      <c r="F348" t="s">
        <v>12</v>
      </c>
      <c r="G348">
        <v>3171.6149</v>
      </c>
    </row>
    <row r="349" spans="1:7" x14ac:dyDescent="0.3">
      <c r="A349">
        <v>25</v>
      </c>
      <c r="B349" t="s">
        <v>7</v>
      </c>
      <c r="C349">
        <v>42.13</v>
      </c>
      <c r="D349">
        <v>1</v>
      </c>
      <c r="E349" t="s">
        <v>11</v>
      </c>
      <c r="F349" t="s">
        <v>12</v>
      </c>
      <c r="G349">
        <v>3238.4357</v>
      </c>
    </row>
    <row r="350" spans="1:7" x14ac:dyDescent="0.3">
      <c r="A350">
        <v>45</v>
      </c>
      <c r="B350" t="s">
        <v>7</v>
      </c>
      <c r="C350">
        <v>27.83</v>
      </c>
      <c r="D350">
        <v>2</v>
      </c>
      <c r="E350" t="s">
        <v>11</v>
      </c>
      <c r="F350" t="s">
        <v>12</v>
      </c>
      <c r="G350">
        <v>8515.7587000000003</v>
      </c>
    </row>
    <row r="351" spans="1:7" x14ac:dyDescent="0.3">
      <c r="A351">
        <v>33</v>
      </c>
      <c r="B351" t="s">
        <v>7</v>
      </c>
      <c r="C351">
        <v>39.82</v>
      </c>
      <c r="D351">
        <v>1</v>
      </c>
      <c r="E351" t="s">
        <v>11</v>
      </c>
      <c r="F351" t="s">
        <v>12</v>
      </c>
      <c r="G351">
        <v>4795.6567999999997</v>
      </c>
    </row>
    <row r="352" spans="1:7" x14ac:dyDescent="0.3">
      <c r="A352">
        <v>49</v>
      </c>
      <c r="B352" t="s">
        <v>7</v>
      </c>
      <c r="C352">
        <v>27.17</v>
      </c>
      <c r="D352">
        <v>0</v>
      </c>
      <c r="E352" t="s">
        <v>11</v>
      </c>
      <c r="F352" t="s">
        <v>12</v>
      </c>
      <c r="G352">
        <v>8601.3292999999994</v>
      </c>
    </row>
    <row r="353" spans="1:7" x14ac:dyDescent="0.3">
      <c r="A353">
        <v>22</v>
      </c>
      <c r="B353" t="s">
        <v>7</v>
      </c>
      <c r="C353">
        <v>28.05</v>
      </c>
      <c r="D353">
        <v>0</v>
      </c>
      <c r="E353" t="s">
        <v>11</v>
      </c>
      <c r="F353" t="s">
        <v>12</v>
      </c>
      <c r="G353">
        <v>2155.6815000000001</v>
      </c>
    </row>
    <row r="354" spans="1:7" x14ac:dyDescent="0.3">
      <c r="A354">
        <v>54</v>
      </c>
      <c r="B354" t="s">
        <v>7</v>
      </c>
      <c r="C354">
        <v>31.9</v>
      </c>
      <c r="D354">
        <v>3</v>
      </c>
      <c r="E354" t="s">
        <v>11</v>
      </c>
      <c r="F354" t="s">
        <v>12</v>
      </c>
      <c r="G354">
        <v>27322.73386</v>
      </c>
    </row>
    <row r="355" spans="1:7" x14ac:dyDescent="0.3">
      <c r="A355">
        <v>29</v>
      </c>
      <c r="B355" t="s">
        <v>7</v>
      </c>
      <c r="C355">
        <v>38.83</v>
      </c>
      <c r="D355">
        <v>3</v>
      </c>
      <c r="E355" t="s">
        <v>11</v>
      </c>
      <c r="F355" t="s">
        <v>12</v>
      </c>
      <c r="G355">
        <v>5138.2566999999999</v>
      </c>
    </row>
    <row r="356" spans="1:7" x14ac:dyDescent="0.3">
      <c r="A356">
        <v>51</v>
      </c>
      <c r="B356" t="s">
        <v>7</v>
      </c>
      <c r="C356">
        <v>37.729999999999997</v>
      </c>
      <c r="D356">
        <v>1</v>
      </c>
      <c r="E356" t="s">
        <v>11</v>
      </c>
      <c r="F356" t="s">
        <v>12</v>
      </c>
      <c r="G356">
        <v>9877.6077000000005</v>
      </c>
    </row>
    <row r="357" spans="1:7" x14ac:dyDescent="0.3">
      <c r="A357">
        <v>50</v>
      </c>
      <c r="B357" t="s">
        <v>7</v>
      </c>
      <c r="C357">
        <v>27.83</v>
      </c>
      <c r="D357">
        <v>3</v>
      </c>
      <c r="E357" t="s">
        <v>11</v>
      </c>
      <c r="F357" t="s">
        <v>12</v>
      </c>
      <c r="G357">
        <v>19749.383379999999</v>
      </c>
    </row>
    <row r="358" spans="1:7" x14ac:dyDescent="0.3">
      <c r="A358">
        <v>56</v>
      </c>
      <c r="B358" t="s">
        <v>7</v>
      </c>
      <c r="C358">
        <v>41.91</v>
      </c>
      <c r="D358">
        <v>0</v>
      </c>
      <c r="E358" t="s">
        <v>11</v>
      </c>
      <c r="F358" t="s">
        <v>12</v>
      </c>
      <c r="G358">
        <v>11093.6229</v>
      </c>
    </row>
    <row r="359" spans="1:7" x14ac:dyDescent="0.3">
      <c r="A359">
        <v>18</v>
      </c>
      <c r="B359" t="s">
        <v>7</v>
      </c>
      <c r="C359">
        <v>38.28</v>
      </c>
      <c r="D359">
        <v>0</v>
      </c>
      <c r="E359" t="s">
        <v>11</v>
      </c>
      <c r="F359" t="s">
        <v>12</v>
      </c>
      <c r="G359">
        <v>1631.8212000000001</v>
      </c>
    </row>
    <row r="360" spans="1:7" x14ac:dyDescent="0.3">
      <c r="A360">
        <v>26</v>
      </c>
      <c r="B360" t="s">
        <v>7</v>
      </c>
      <c r="C360">
        <v>29.92</v>
      </c>
      <c r="D360">
        <v>2</v>
      </c>
      <c r="E360" t="s">
        <v>11</v>
      </c>
      <c r="F360" t="s">
        <v>12</v>
      </c>
      <c r="G360">
        <v>3981.9767999999999</v>
      </c>
    </row>
    <row r="361" spans="1:7" x14ac:dyDescent="0.3">
      <c r="A361">
        <v>45</v>
      </c>
      <c r="B361" t="s">
        <v>7</v>
      </c>
      <c r="C361">
        <v>28.6</v>
      </c>
      <c r="D361">
        <v>2</v>
      </c>
      <c r="E361" t="s">
        <v>11</v>
      </c>
      <c r="F361" t="s">
        <v>12</v>
      </c>
      <c r="G361">
        <v>8516.8289999999997</v>
      </c>
    </row>
    <row r="362" spans="1:7" x14ac:dyDescent="0.3">
      <c r="A362">
        <v>48</v>
      </c>
      <c r="B362" t="s">
        <v>7</v>
      </c>
      <c r="C362">
        <v>32.229999999999997</v>
      </c>
      <c r="D362">
        <v>1</v>
      </c>
      <c r="E362" t="s">
        <v>11</v>
      </c>
      <c r="F362" t="s">
        <v>12</v>
      </c>
      <c r="G362">
        <v>8871.1517000000003</v>
      </c>
    </row>
    <row r="363" spans="1:7" x14ac:dyDescent="0.3">
      <c r="A363">
        <v>52</v>
      </c>
      <c r="B363" t="s">
        <v>7</v>
      </c>
      <c r="C363">
        <v>24.86</v>
      </c>
      <c r="D363">
        <v>0</v>
      </c>
      <c r="E363" t="s">
        <v>11</v>
      </c>
      <c r="F363" t="s">
        <v>12</v>
      </c>
      <c r="G363">
        <v>27117.993780000001</v>
      </c>
    </row>
    <row r="364" spans="1:7" x14ac:dyDescent="0.3">
      <c r="A364">
        <v>34</v>
      </c>
      <c r="B364" t="s">
        <v>7</v>
      </c>
      <c r="C364">
        <v>26.73</v>
      </c>
      <c r="D364">
        <v>1</v>
      </c>
      <c r="E364" t="s">
        <v>11</v>
      </c>
      <c r="F364" t="s">
        <v>12</v>
      </c>
      <c r="G364">
        <v>5002.7826999999997</v>
      </c>
    </row>
    <row r="365" spans="1:7" x14ac:dyDescent="0.3">
      <c r="A365">
        <v>26</v>
      </c>
      <c r="B365" t="s">
        <v>7</v>
      </c>
      <c r="C365">
        <v>29.92</v>
      </c>
      <c r="D365">
        <v>1</v>
      </c>
      <c r="E365" t="s">
        <v>11</v>
      </c>
      <c r="F365" t="s">
        <v>12</v>
      </c>
      <c r="G365">
        <v>3392.9767999999999</v>
      </c>
    </row>
    <row r="366" spans="1:7" x14ac:dyDescent="0.3">
      <c r="A366">
        <v>24</v>
      </c>
      <c r="B366" t="s">
        <v>7</v>
      </c>
      <c r="C366">
        <v>23.21</v>
      </c>
      <c r="D366">
        <v>0</v>
      </c>
      <c r="E366" t="s">
        <v>11</v>
      </c>
      <c r="F366" t="s">
        <v>12</v>
      </c>
      <c r="G366">
        <v>25081.76784</v>
      </c>
    </row>
    <row r="367" spans="1:7" x14ac:dyDescent="0.3">
      <c r="A367">
        <v>58</v>
      </c>
      <c r="B367" t="s">
        <v>7</v>
      </c>
      <c r="C367">
        <v>41.91</v>
      </c>
      <c r="D367">
        <v>0</v>
      </c>
      <c r="E367" t="s">
        <v>11</v>
      </c>
      <c r="F367" t="s">
        <v>12</v>
      </c>
      <c r="G367">
        <v>24227.337240000001</v>
      </c>
    </row>
    <row r="368" spans="1:7" x14ac:dyDescent="0.3">
      <c r="A368">
        <v>39</v>
      </c>
      <c r="B368" t="s">
        <v>7</v>
      </c>
      <c r="C368">
        <v>23.87</v>
      </c>
      <c r="D368">
        <v>5</v>
      </c>
      <c r="E368" t="s">
        <v>11</v>
      </c>
      <c r="F368" t="s">
        <v>12</v>
      </c>
      <c r="G368">
        <v>8582.3022999999994</v>
      </c>
    </row>
    <row r="369" spans="1:7" x14ac:dyDescent="0.3">
      <c r="A369">
        <v>59</v>
      </c>
      <c r="B369" t="s">
        <v>7</v>
      </c>
      <c r="C369">
        <v>27.83</v>
      </c>
      <c r="D369">
        <v>3</v>
      </c>
      <c r="E369" t="s">
        <v>11</v>
      </c>
      <c r="F369" t="s">
        <v>12</v>
      </c>
      <c r="G369">
        <v>14001.286700000001</v>
      </c>
    </row>
    <row r="370" spans="1:7" x14ac:dyDescent="0.3">
      <c r="A370">
        <v>35</v>
      </c>
      <c r="B370" t="s">
        <v>7</v>
      </c>
      <c r="C370">
        <v>35.86</v>
      </c>
      <c r="D370">
        <v>2</v>
      </c>
      <c r="E370" t="s">
        <v>11</v>
      </c>
      <c r="F370" t="s">
        <v>12</v>
      </c>
      <c r="G370">
        <v>5836.5204000000003</v>
      </c>
    </row>
    <row r="371" spans="1:7" x14ac:dyDescent="0.3">
      <c r="A371">
        <v>18</v>
      </c>
      <c r="B371" t="s">
        <v>7</v>
      </c>
      <c r="C371">
        <v>26.73</v>
      </c>
      <c r="D371">
        <v>0</v>
      </c>
      <c r="E371" t="s">
        <v>11</v>
      </c>
      <c r="F371" t="s">
        <v>12</v>
      </c>
      <c r="G371">
        <v>1615.7666999999999</v>
      </c>
    </row>
    <row r="372" spans="1:7" x14ac:dyDescent="0.3">
      <c r="A372">
        <v>60</v>
      </c>
      <c r="B372" t="s">
        <v>7</v>
      </c>
      <c r="C372">
        <v>38.06</v>
      </c>
      <c r="D372">
        <v>0</v>
      </c>
      <c r="E372" t="s">
        <v>11</v>
      </c>
      <c r="F372" t="s">
        <v>12</v>
      </c>
      <c r="G372">
        <v>12648.7034</v>
      </c>
    </row>
    <row r="373" spans="1:7" x14ac:dyDescent="0.3">
      <c r="A373">
        <v>54</v>
      </c>
      <c r="B373" t="s">
        <v>7</v>
      </c>
      <c r="C373">
        <v>31.24</v>
      </c>
      <c r="D373">
        <v>0</v>
      </c>
      <c r="E373" t="s">
        <v>11</v>
      </c>
      <c r="F373" t="s">
        <v>12</v>
      </c>
      <c r="G373">
        <v>10338.9316</v>
      </c>
    </row>
    <row r="374" spans="1:7" x14ac:dyDescent="0.3">
      <c r="A374">
        <v>38</v>
      </c>
      <c r="B374" t="s">
        <v>7</v>
      </c>
      <c r="C374">
        <v>40.15</v>
      </c>
      <c r="D374">
        <v>0</v>
      </c>
      <c r="E374" t="s">
        <v>11</v>
      </c>
      <c r="F374" t="s">
        <v>12</v>
      </c>
      <c r="G374">
        <v>5400.9804999999997</v>
      </c>
    </row>
    <row r="375" spans="1:7" x14ac:dyDescent="0.3">
      <c r="A375">
        <v>25</v>
      </c>
      <c r="B375" t="s">
        <v>7</v>
      </c>
      <c r="C375">
        <v>33.99</v>
      </c>
      <c r="D375">
        <v>1</v>
      </c>
      <c r="E375" t="s">
        <v>11</v>
      </c>
      <c r="F375" t="s">
        <v>12</v>
      </c>
      <c r="G375">
        <v>3227.1210999999998</v>
      </c>
    </row>
    <row r="376" spans="1:7" x14ac:dyDescent="0.3">
      <c r="A376">
        <v>53</v>
      </c>
      <c r="B376" t="s">
        <v>7</v>
      </c>
      <c r="C376">
        <v>38.06</v>
      </c>
      <c r="D376">
        <v>3</v>
      </c>
      <c r="E376" t="s">
        <v>11</v>
      </c>
      <c r="F376" t="s">
        <v>12</v>
      </c>
      <c r="G376">
        <v>20462.997660000001</v>
      </c>
    </row>
    <row r="377" spans="1:7" x14ac:dyDescent="0.3">
      <c r="A377">
        <v>32</v>
      </c>
      <c r="B377" t="s">
        <v>7</v>
      </c>
      <c r="C377">
        <v>29.59</v>
      </c>
      <c r="D377">
        <v>1</v>
      </c>
      <c r="E377" t="s">
        <v>11</v>
      </c>
      <c r="F377" t="s">
        <v>12</v>
      </c>
      <c r="G377">
        <v>4562.8420999999998</v>
      </c>
    </row>
    <row r="378" spans="1:7" x14ac:dyDescent="0.3">
      <c r="A378">
        <v>54</v>
      </c>
      <c r="B378" t="s">
        <v>7</v>
      </c>
      <c r="C378">
        <v>31.9</v>
      </c>
      <c r="D378">
        <v>1</v>
      </c>
      <c r="E378" t="s">
        <v>11</v>
      </c>
      <c r="F378" t="s">
        <v>12</v>
      </c>
      <c r="G378">
        <v>10928.849</v>
      </c>
    </row>
    <row r="379" spans="1:7" x14ac:dyDescent="0.3">
      <c r="A379">
        <v>51</v>
      </c>
      <c r="B379" t="s">
        <v>7</v>
      </c>
      <c r="C379">
        <v>21.56</v>
      </c>
      <c r="D379">
        <v>1</v>
      </c>
      <c r="E379" t="s">
        <v>11</v>
      </c>
      <c r="F379" t="s">
        <v>12</v>
      </c>
      <c r="G379">
        <v>9855.1314000000002</v>
      </c>
    </row>
    <row r="380" spans="1:7" x14ac:dyDescent="0.3">
      <c r="A380">
        <v>24</v>
      </c>
      <c r="B380" t="s">
        <v>7</v>
      </c>
      <c r="C380">
        <v>39.49</v>
      </c>
      <c r="D380">
        <v>0</v>
      </c>
      <c r="E380" t="s">
        <v>11</v>
      </c>
      <c r="F380" t="s">
        <v>12</v>
      </c>
      <c r="G380">
        <v>2480.9791</v>
      </c>
    </row>
    <row r="381" spans="1:7" x14ac:dyDescent="0.3">
      <c r="A381">
        <v>45</v>
      </c>
      <c r="B381" t="s">
        <v>7</v>
      </c>
      <c r="C381">
        <v>31.79</v>
      </c>
      <c r="D381">
        <v>0</v>
      </c>
      <c r="E381" t="s">
        <v>11</v>
      </c>
      <c r="F381" t="s">
        <v>12</v>
      </c>
      <c r="G381">
        <v>17929.303370000001</v>
      </c>
    </row>
    <row r="382" spans="1:7" x14ac:dyDescent="0.3">
      <c r="A382">
        <v>22</v>
      </c>
      <c r="B382" t="s">
        <v>7</v>
      </c>
      <c r="C382">
        <v>28.82</v>
      </c>
      <c r="D382">
        <v>0</v>
      </c>
      <c r="E382" t="s">
        <v>11</v>
      </c>
      <c r="F382" t="s">
        <v>12</v>
      </c>
      <c r="G382">
        <v>2156.7518</v>
      </c>
    </row>
    <row r="383" spans="1:7" x14ac:dyDescent="0.3">
      <c r="A383">
        <v>56</v>
      </c>
      <c r="B383" t="s">
        <v>7</v>
      </c>
      <c r="C383">
        <v>37.51</v>
      </c>
      <c r="D383">
        <v>2</v>
      </c>
      <c r="E383" t="s">
        <v>11</v>
      </c>
      <c r="F383" t="s">
        <v>12</v>
      </c>
      <c r="G383">
        <v>12265.5069</v>
      </c>
    </row>
    <row r="384" spans="1:7" x14ac:dyDescent="0.3">
      <c r="A384">
        <v>28</v>
      </c>
      <c r="B384" t="s">
        <v>7</v>
      </c>
      <c r="C384">
        <v>33</v>
      </c>
      <c r="D384">
        <v>2</v>
      </c>
      <c r="E384" t="s">
        <v>11</v>
      </c>
      <c r="F384" t="s">
        <v>12</v>
      </c>
      <c r="G384">
        <v>4349.4620000000004</v>
      </c>
    </row>
    <row r="385" spans="1:7" x14ac:dyDescent="0.3">
      <c r="A385">
        <v>30</v>
      </c>
      <c r="B385" t="s">
        <v>7</v>
      </c>
      <c r="C385">
        <v>33.33</v>
      </c>
      <c r="D385">
        <v>1</v>
      </c>
      <c r="E385" t="s">
        <v>11</v>
      </c>
      <c r="F385" t="s">
        <v>12</v>
      </c>
      <c r="G385">
        <v>4151.0286999999998</v>
      </c>
    </row>
    <row r="386" spans="1:7" x14ac:dyDescent="0.3">
      <c r="A386">
        <v>47</v>
      </c>
      <c r="B386" t="s">
        <v>7</v>
      </c>
      <c r="C386">
        <v>45.32</v>
      </c>
      <c r="D386">
        <v>1</v>
      </c>
      <c r="E386" t="s">
        <v>11</v>
      </c>
      <c r="F386" t="s">
        <v>12</v>
      </c>
      <c r="G386">
        <v>8569.8618000000006</v>
      </c>
    </row>
    <row r="387" spans="1:7" x14ac:dyDescent="0.3">
      <c r="A387">
        <v>61</v>
      </c>
      <c r="B387" t="s">
        <v>7</v>
      </c>
      <c r="C387">
        <v>33.33</v>
      </c>
      <c r="D387">
        <v>4</v>
      </c>
      <c r="E387" t="s">
        <v>11</v>
      </c>
      <c r="F387" t="s">
        <v>12</v>
      </c>
      <c r="G387">
        <v>36580.282160000002</v>
      </c>
    </row>
    <row r="388" spans="1:7" x14ac:dyDescent="0.3">
      <c r="A388">
        <v>27</v>
      </c>
      <c r="B388" t="s">
        <v>7</v>
      </c>
      <c r="C388">
        <v>23.21</v>
      </c>
      <c r="D388">
        <v>1</v>
      </c>
      <c r="E388" t="s">
        <v>11</v>
      </c>
      <c r="F388" t="s">
        <v>12</v>
      </c>
      <c r="G388">
        <v>3561.8888999999999</v>
      </c>
    </row>
    <row r="389" spans="1:7" x14ac:dyDescent="0.3">
      <c r="A389">
        <v>63</v>
      </c>
      <c r="B389" t="s">
        <v>7</v>
      </c>
      <c r="C389">
        <v>36.85</v>
      </c>
      <c r="D389">
        <v>0</v>
      </c>
      <c r="E389" t="s">
        <v>11</v>
      </c>
      <c r="F389" t="s">
        <v>12</v>
      </c>
      <c r="G389">
        <v>13887.968500000001</v>
      </c>
    </row>
    <row r="390" spans="1:7" x14ac:dyDescent="0.3">
      <c r="A390">
        <v>46</v>
      </c>
      <c r="B390" t="s">
        <v>7</v>
      </c>
      <c r="C390">
        <v>27.72</v>
      </c>
      <c r="D390">
        <v>1</v>
      </c>
      <c r="E390" t="s">
        <v>11</v>
      </c>
      <c r="F390" t="s">
        <v>12</v>
      </c>
      <c r="G390">
        <v>8232.6388000000006</v>
      </c>
    </row>
    <row r="391" spans="1:7" x14ac:dyDescent="0.3">
      <c r="A391">
        <v>49</v>
      </c>
      <c r="B391" t="s">
        <v>7</v>
      </c>
      <c r="C391">
        <v>41.47</v>
      </c>
      <c r="D391">
        <v>4</v>
      </c>
      <c r="E391" t="s">
        <v>11</v>
      </c>
      <c r="F391" t="s">
        <v>12</v>
      </c>
      <c r="G391">
        <v>10977.2063</v>
      </c>
    </row>
    <row r="392" spans="1:7" x14ac:dyDescent="0.3">
      <c r="A392">
        <v>34</v>
      </c>
      <c r="B392" t="s">
        <v>7</v>
      </c>
      <c r="C392">
        <v>29.26</v>
      </c>
      <c r="D392">
        <v>3</v>
      </c>
      <c r="E392" t="s">
        <v>11</v>
      </c>
      <c r="F392" t="s">
        <v>12</v>
      </c>
      <c r="G392">
        <v>6184.2993999999999</v>
      </c>
    </row>
    <row r="393" spans="1:7" x14ac:dyDescent="0.3">
      <c r="A393">
        <v>36</v>
      </c>
      <c r="B393" t="s">
        <v>7</v>
      </c>
      <c r="C393">
        <v>29.92</v>
      </c>
      <c r="D393">
        <v>1</v>
      </c>
      <c r="E393" t="s">
        <v>11</v>
      </c>
      <c r="F393" t="s">
        <v>12</v>
      </c>
      <c r="G393">
        <v>5478.0367999999999</v>
      </c>
    </row>
    <row r="394" spans="1:7" x14ac:dyDescent="0.3">
      <c r="A394">
        <v>18</v>
      </c>
      <c r="B394" t="s">
        <v>7</v>
      </c>
      <c r="C394">
        <v>38.28</v>
      </c>
      <c r="D394">
        <v>0</v>
      </c>
      <c r="E394" t="s">
        <v>11</v>
      </c>
      <c r="F394" t="s">
        <v>12</v>
      </c>
      <c r="G394">
        <v>14133.03775</v>
      </c>
    </row>
    <row r="395" spans="1:7" x14ac:dyDescent="0.3">
      <c r="A395">
        <v>36</v>
      </c>
      <c r="B395" t="s">
        <v>7</v>
      </c>
      <c r="C395">
        <v>29.92</v>
      </c>
      <c r="D395">
        <v>0</v>
      </c>
      <c r="E395" t="s">
        <v>11</v>
      </c>
      <c r="F395" t="s">
        <v>12</v>
      </c>
      <c r="G395">
        <v>4889.0367999999999</v>
      </c>
    </row>
    <row r="396" spans="1:7" x14ac:dyDescent="0.3">
      <c r="A396">
        <v>18</v>
      </c>
      <c r="B396" t="s">
        <v>7</v>
      </c>
      <c r="C396">
        <v>20.79</v>
      </c>
      <c r="D396">
        <v>0</v>
      </c>
      <c r="E396" t="s">
        <v>11</v>
      </c>
      <c r="F396" t="s">
        <v>12</v>
      </c>
      <c r="G396">
        <v>1607.5101</v>
      </c>
    </row>
    <row r="397" spans="1:7" x14ac:dyDescent="0.3">
      <c r="A397">
        <v>21</v>
      </c>
      <c r="B397" t="s">
        <v>7</v>
      </c>
      <c r="C397">
        <v>21.89</v>
      </c>
      <c r="D397">
        <v>2</v>
      </c>
      <c r="E397" t="s">
        <v>11</v>
      </c>
      <c r="F397" t="s">
        <v>12</v>
      </c>
      <c r="G397">
        <v>3180.5101</v>
      </c>
    </row>
    <row r="398" spans="1:7" x14ac:dyDescent="0.3">
      <c r="A398">
        <v>50</v>
      </c>
      <c r="B398" t="s">
        <v>7</v>
      </c>
      <c r="C398">
        <v>28.16</v>
      </c>
      <c r="D398">
        <v>3</v>
      </c>
      <c r="E398" t="s">
        <v>11</v>
      </c>
      <c r="F398" t="s">
        <v>12</v>
      </c>
      <c r="G398">
        <v>10702.642400000001</v>
      </c>
    </row>
    <row r="399" spans="1:7" x14ac:dyDescent="0.3">
      <c r="A399">
        <v>39</v>
      </c>
      <c r="B399" t="s">
        <v>7</v>
      </c>
      <c r="C399">
        <v>34.32</v>
      </c>
      <c r="D399">
        <v>5</v>
      </c>
      <c r="E399" t="s">
        <v>11</v>
      </c>
      <c r="F399" t="s">
        <v>12</v>
      </c>
      <c r="G399">
        <v>8596.8277999999991</v>
      </c>
    </row>
    <row r="400" spans="1:7" x14ac:dyDescent="0.3">
      <c r="A400">
        <v>63</v>
      </c>
      <c r="B400" t="s">
        <v>7</v>
      </c>
      <c r="C400">
        <v>35.200000000000003</v>
      </c>
      <c r="D400">
        <v>1</v>
      </c>
      <c r="E400" t="s">
        <v>11</v>
      </c>
      <c r="F400" t="s">
        <v>12</v>
      </c>
      <c r="G400">
        <v>14474.674999999999</v>
      </c>
    </row>
    <row r="401" spans="1:7" x14ac:dyDescent="0.3">
      <c r="A401">
        <v>35</v>
      </c>
      <c r="B401" t="s">
        <v>7</v>
      </c>
      <c r="C401">
        <v>43.34</v>
      </c>
      <c r="D401">
        <v>2</v>
      </c>
      <c r="E401" t="s">
        <v>11</v>
      </c>
      <c r="F401" t="s">
        <v>12</v>
      </c>
      <c r="G401">
        <v>5846.9175999999998</v>
      </c>
    </row>
    <row r="402" spans="1:7" x14ac:dyDescent="0.3">
      <c r="A402">
        <v>50</v>
      </c>
      <c r="B402" t="s">
        <v>7</v>
      </c>
      <c r="C402">
        <v>46.09</v>
      </c>
      <c r="D402">
        <v>1</v>
      </c>
      <c r="E402" t="s">
        <v>11</v>
      </c>
      <c r="F402" t="s">
        <v>12</v>
      </c>
      <c r="G402">
        <v>9549.5650999999998</v>
      </c>
    </row>
    <row r="403" spans="1:7" x14ac:dyDescent="0.3">
      <c r="A403">
        <v>58</v>
      </c>
      <c r="B403" t="s">
        <v>7</v>
      </c>
      <c r="C403">
        <v>39.049999999999997</v>
      </c>
      <c r="D403">
        <v>0</v>
      </c>
      <c r="E403" t="s">
        <v>11</v>
      </c>
      <c r="F403" t="s">
        <v>12</v>
      </c>
      <c r="G403">
        <v>11856.4115</v>
      </c>
    </row>
    <row r="404" spans="1:7" x14ac:dyDescent="0.3">
      <c r="A404">
        <v>62</v>
      </c>
      <c r="B404" t="s">
        <v>7</v>
      </c>
      <c r="C404">
        <v>39.159999999999997</v>
      </c>
      <c r="D404">
        <v>0</v>
      </c>
      <c r="E404" t="s">
        <v>11</v>
      </c>
      <c r="F404" t="s">
        <v>12</v>
      </c>
      <c r="G404">
        <v>13470.804400000001</v>
      </c>
    </row>
    <row r="405" spans="1:7" x14ac:dyDescent="0.3">
      <c r="A405">
        <v>18</v>
      </c>
      <c r="B405" t="s">
        <v>7</v>
      </c>
      <c r="C405">
        <v>38.17</v>
      </c>
      <c r="D405">
        <v>0</v>
      </c>
      <c r="E405" t="s">
        <v>11</v>
      </c>
      <c r="F405" t="s">
        <v>12</v>
      </c>
      <c r="G405">
        <v>1631.6683</v>
      </c>
    </row>
    <row r="406" spans="1:7" x14ac:dyDescent="0.3">
      <c r="A406">
        <v>35</v>
      </c>
      <c r="B406" t="s">
        <v>7</v>
      </c>
      <c r="C406">
        <v>34.21</v>
      </c>
      <c r="D406">
        <v>1</v>
      </c>
      <c r="E406" t="s">
        <v>11</v>
      </c>
      <c r="F406" t="s">
        <v>12</v>
      </c>
      <c r="G406">
        <v>5245.2268999999997</v>
      </c>
    </row>
    <row r="407" spans="1:7" x14ac:dyDescent="0.3">
      <c r="A407">
        <v>33</v>
      </c>
      <c r="B407" t="s">
        <v>7</v>
      </c>
      <c r="C407">
        <v>24.31</v>
      </c>
      <c r="D407">
        <v>0</v>
      </c>
      <c r="E407" t="s">
        <v>11</v>
      </c>
      <c r="F407" t="s">
        <v>12</v>
      </c>
      <c r="G407">
        <v>4185.0978999999998</v>
      </c>
    </row>
    <row r="408" spans="1:7" x14ac:dyDescent="0.3">
      <c r="A408">
        <v>24</v>
      </c>
      <c r="B408" t="s">
        <v>7</v>
      </c>
      <c r="C408">
        <v>33.99</v>
      </c>
      <c r="D408">
        <v>0</v>
      </c>
      <c r="E408" t="s">
        <v>11</v>
      </c>
      <c r="F408" t="s">
        <v>12</v>
      </c>
      <c r="G408">
        <v>2473.3341</v>
      </c>
    </row>
    <row r="409" spans="1:7" x14ac:dyDescent="0.3">
      <c r="A409">
        <v>43</v>
      </c>
      <c r="B409" t="s">
        <v>7</v>
      </c>
      <c r="C409">
        <v>35.64</v>
      </c>
      <c r="D409">
        <v>1</v>
      </c>
      <c r="E409" t="s">
        <v>11</v>
      </c>
      <c r="F409" t="s">
        <v>12</v>
      </c>
      <c r="G409">
        <v>7345.7266</v>
      </c>
    </row>
    <row r="410" spans="1:7" x14ac:dyDescent="0.3">
      <c r="A410">
        <v>44</v>
      </c>
      <c r="B410" t="s">
        <v>7</v>
      </c>
      <c r="C410">
        <v>32.340000000000003</v>
      </c>
      <c r="D410">
        <v>1</v>
      </c>
      <c r="E410" t="s">
        <v>11</v>
      </c>
      <c r="F410" t="s">
        <v>12</v>
      </c>
      <c r="G410">
        <v>7633.7205999999996</v>
      </c>
    </row>
    <row r="411" spans="1:7" x14ac:dyDescent="0.3">
      <c r="A411">
        <v>18</v>
      </c>
      <c r="B411" t="s">
        <v>7</v>
      </c>
      <c r="C411">
        <v>40.26</v>
      </c>
      <c r="D411">
        <v>0</v>
      </c>
      <c r="E411" t="s">
        <v>11</v>
      </c>
      <c r="F411" t="s">
        <v>12</v>
      </c>
      <c r="G411">
        <v>1634.5734</v>
      </c>
    </row>
    <row r="412" spans="1:7" x14ac:dyDescent="0.3">
      <c r="A412">
        <v>36</v>
      </c>
      <c r="B412" t="s">
        <v>7</v>
      </c>
      <c r="C412">
        <v>29.04</v>
      </c>
      <c r="D412">
        <v>4</v>
      </c>
      <c r="E412" t="s">
        <v>11</v>
      </c>
      <c r="F412" t="s">
        <v>12</v>
      </c>
      <c r="G412">
        <v>7243.8136000000004</v>
      </c>
    </row>
    <row r="413" spans="1:7" x14ac:dyDescent="0.3">
      <c r="A413">
        <v>52</v>
      </c>
      <c r="B413" t="s">
        <v>7</v>
      </c>
      <c r="C413">
        <v>46.75</v>
      </c>
      <c r="D413">
        <v>5</v>
      </c>
      <c r="E413" t="s">
        <v>11</v>
      </c>
      <c r="F413" t="s">
        <v>12</v>
      </c>
      <c r="G413">
        <v>12592.5345</v>
      </c>
    </row>
    <row r="414" spans="1:7" x14ac:dyDescent="0.3">
      <c r="A414">
        <v>59</v>
      </c>
      <c r="B414" t="s">
        <v>7</v>
      </c>
      <c r="C414">
        <v>36.520000000000003</v>
      </c>
      <c r="D414">
        <v>1</v>
      </c>
      <c r="E414" t="s">
        <v>11</v>
      </c>
      <c r="F414" t="s">
        <v>12</v>
      </c>
      <c r="G414">
        <v>28287.897659999999</v>
      </c>
    </row>
    <row r="415" spans="1:7" x14ac:dyDescent="0.3">
      <c r="A415">
        <v>26</v>
      </c>
      <c r="B415" t="s">
        <v>7</v>
      </c>
      <c r="C415">
        <v>29.48</v>
      </c>
      <c r="D415">
        <v>1</v>
      </c>
      <c r="E415" t="s">
        <v>11</v>
      </c>
      <c r="F415" t="s">
        <v>12</v>
      </c>
      <c r="G415">
        <v>3392.3652000000002</v>
      </c>
    </row>
    <row r="416" spans="1:7" x14ac:dyDescent="0.3">
      <c r="A416">
        <v>25</v>
      </c>
      <c r="B416" t="s">
        <v>7</v>
      </c>
      <c r="C416">
        <v>32.229999999999997</v>
      </c>
      <c r="D416">
        <v>1</v>
      </c>
      <c r="E416" t="s">
        <v>11</v>
      </c>
      <c r="F416" t="s">
        <v>12</v>
      </c>
      <c r="G416">
        <v>18218.161390000001</v>
      </c>
    </row>
    <row r="417" spans="1:7" x14ac:dyDescent="0.3">
      <c r="A417">
        <v>55</v>
      </c>
      <c r="B417" t="s">
        <v>7</v>
      </c>
      <c r="C417">
        <v>30.14</v>
      </c>
      <c r="D417">
        <v>2</v>
      </c>
      <c r="E417" t="s">
        <v>11</v>
      </c>
      <c r="F417" t="s">
        <v>12</v>
      </c>
      <c r="G417">
        <v>11881.9696</v>
      </c>
    </row>
    <row r="418" spans="1:7" x14ac:dyDescent="0.3">
      <c r="A418">
        <v>40</v>
      </c>
      <c r="B418" t="s">
        <v>7</v>
      </c>
      <c r="C418">
        <v>33</v>
      </c>
      <c r="D418">
        <v>3</v>
      </c>
      <c r="E418" t="s">
        <v>11</v>
      </c>
      <c r="F418" t="s">
        <v>12</v>
      </c>
      <c r="G418">
        <v>7682.67</v>
      </c>
    </row>
    <row r="419" spans="1:7" x14ac:dyDescent="0.3">
      <c r="A419">
        <v>49</v>
      </c>
      <c r="B419" t="s">
        <v>7</v>
      </c>
      <c r="C419">
        <v>36.630000000000003</v>
      </c>
      <c r="D419">
        <v>3</v>
      </c>
      <c r="E419" t="s">
        <v>11</v>
      </c>
      <c r="F419" t="s">
        <v>12</v>
      </c>
      <c r="G419">
        <v>10381.4787</v>
      </c>
    </row>
    <row r="420" spans="1:7" x14ac:dyDescent="0.3">
      <c r="A420">
        <v>18</v>
      </c>
      <c r="B420" t="s">
        <v>7</v>
      </c>
      <c r="C420">
        <v>24.09</v>
      </c>
      <c r="D420">
        <v>1</v>
      </c>
      <c r="E420" t="s">
        <v>11</v>
      </c>
      <c r="F420" t="s">
        <v>12</v>
      </c>
      <c r="G420">
        <v>2201.0971</v>
      </c>
    </row>
    <row r="421" spans="1:7" x14ac:dyDescent="0.3">
      <c r="A421">
        <v>18</v>
      </c>
      <c r="B421" t="s">
        <v>7</v>
      </c>
      <c r="C421">
        <v>31.35</v>
      </c>
      <c r="D421">
        <v>0</v>
      </c>
      <c r="E421" t="s">
        <v>11</v>
      </c>
      <c r="F421" t="s">
        <v>12</v>
      </c>
      <c r="G421">
        <v>1622.1885</v>
      </c>
    </row>
    <row r="422" spans="1:7" x14ac:dyDescent="0.3">
      <c r="A422">
        <v>61</v>
      </c>
      <c r="B422" t="s">
        <v>7</v>
      </c>
      <c r="C422">
        <v>25.08</v>
      </c>
      <c r="D422">
        <v>0</v>
      </c>
      <c r="E422" t="s">
        <v>11</v>
      </c>
      <c r="F422" t="s">
        <v>12</v>
      </c>
      <c r="G422">
        <v>24513.091260000001</v>
      </c>
    </row>
    <row r="423" spans="1:7" x14ac:dyDescent="0.3">
      <c r="A423">
        <v>44</v>
      </c>
      <c r="B423" t="s">
        <v>7</v>
      </c>
      <c r="C423">
        <v>29.81</v>
      </c>
      <c r="D423">
        <v>2</v>
      </c>
      <c r="E423" t="s">
        <v>11</v>
      </c>
      <c r="F423" t="s">
        <v>12</v>
      </c>
      <c r="G423">
        <v>8219.2039000000004</v>
      </c>
    </row>
    <row r="424" spans="1:7" x14ac:dyDescent="0.3">
      <c r="A424">
        <v>18</v>
      </c>
      <c r="B424" t="s">
        <v>7</v>
      </c>
      <c r="C424">
        <v>31.13</v>
      </c>
      <c r="D424">
        <v>0</v>
      </c>
      <c r="E424" t="s">
        <v>11</v>
      </c>
      <c r="F424" t="s">
        <v>12</v>
      </c>
      <c r="G424">
        <v>1621.8827000000001</v>
      </c>
    </row>
    <row r="425" spans="1:7" x14ac:dyDescent="0.3">
      <c r="A425">
        <v>44</v>
      </c>
      <c r="B425" t="s">
        <v>7</v>
      </c>
      <c r="C425">
        <v>23.98</v>
      </c>
      <c r="D425">
        <v>2</v>
      </c>
      <c r="E425" t="s">
        <v>11</v>
      </c>
      <c r="F425" t="s">
        <v>12</v>
      </c>
      <c r="G425">
        <v>8211.1002000000008</v>
      </c>
    </row>
    <row r="426" spans="1:7" x14ac:dyDescent="0.3">
      <c r="A426">
        <v>20</v>
      </c>
      <c r="B426" t="s">
        <v>7</v>
      </c>
      <c r="C426">
        <v>31.46</v>
      </c>
      <c r="D426">
        <v>0</v>
      </c>
      <c r="E426" t="s">
        <v>11</v>
      </c>
      <c r="F426" t="s">
        <v>12</v>
      </c>
      <c r="G426">
        <v>1877.9294</v>
      </c>
    </row>
    <row r="427" spans="1:7" x14ac:dyDescent="0.3">
      <c r="A427">
        <v>38</v>
      </c>
      <c r="B427" t="s">
        <v>7</v>
      </c>
      <c r="C427">
        <v>28.93</v>
      </c>
      <c r="D427">
        <v>1</v>
      </c>
      <c r="E427" t="s">
        <v>11</v>
      </c>
      <c r="F427" t="s">
        <v>12</v>
      </c>
      <c r="G427">
        <v>5974.3846999999996</v>
      </c>
    </row>
    <row r="428" spans="1:7" x14ac:dyDescent="0.3">
      <c r="A428">
        <v>64</v>
      </c>
      <c r="B428" t="s">
        <v>7</v>
      </c>
      <c r="C428">
        <v>35.97</v>
      </c>
      <c r="D428">
        <v>0</v>
      </c>
      <c r="E428" t="s">
        <v>11</v>
      </c>
      <c r="F428" t="s">
        <v>12</v>
      </c>
      <c r="G428">
        <v>14313.846299999999</v>
      </c>
    </row>
    <row r="429" spans="1:7" x14ac:dyDescent="0.3">
      <c r="A429">
        <v>42</v>
      </c>
      <c r="B429" t="s">
        <v>7</v>
      </c>
      <c r="C429">
        <v>26.18</v>
      </c>
      <c r="D429">
        <v>1</v>
      </c>
      <c r="E429" t="s">
        <v>11</v>
      </c>
      <c r="F429" t="s">
        <v>12</v>
      </c>
      <c r="G429">
        <v>7046.7222000000002</v>
      </c>
    </row>
    <row r="430" spans="1:7" x14ac:dyDescent="0.3">
      <c r="A430">
        <v>39</v>
      </c>
      <c r="B430" t="s">
        <v>7</v>
      </c>
      <c r="C430">
        <v>41.8</v>
      </c>
      <c r="D430">
        <v>0</v>
      </c>
      <c r="E430" t="s">
        <v>11</v>
      </c>
      <c r="F430" t="s">
        <v>12</v>
      </c>
      <c r="G430">
        <v>5662.2250000000004</v>
      </c>
    </row>
    <row r="431" spans="1:7" x14ac:dyDescent="0.3">
      <c r="A431">
        <v>62</v>
      </c>
      <c r="B431" t="s">
        <v>7</v>
      </c>
      <c r="C431">
        <v>29.92</v>
      </c>
      <c r="D431">
        <v>0</v>
      </c>
      <c r="E431" t="s">
        <v>11</v>
      </c>
      <c r="F431" t="s">
        <v>12</v>
      </c>
      <c r="G431">
        <v>13457.960800000001</v>
      </c>
    </row>
    <row r="432" spans="1:7" x14ac:dyDescent="0.3">
      <c r="A432">
        <v>32</v>
      </c>
      <c r="B432" t="s">
        <v>7</v>
      </c>
      <c r="C432">
        <v>44.22</v>
      </c>
      <c r="D432">
        <v>0</v>
      </c>
      <c r="E432" t="s">
        <v>11</v>
      </c>
      <c r="F432" t="s">
        <v>12</v>
      </c>
      <c r="G432">
        <v>3994.1777999999999</v>
      </c>
    </row>
    <row r="433" spans="1:7" x14ac:dyDescent="0.3">
      <c r="A433">
        <v>38</v>
      </c>
      <c r="B433" t="s">
        <v>7</v>
      </c>
      <c r="C433">
        <v>37.729999999999997</v>
      </c>
      <c r="D433">
        <v>0</v>
      </c>
      <c r="E433" t="s">
        <v>11</v>
      </c>
      <c r="F433" t="s">
        <v>12</v>
      </c>
      <c r="G433">
        <v>5397.6166999999996</v>
      </c>
    </row>
    <row r="434" spans="1:7" x14ac:dyDescent="0.3">
      <c r="A434">
        <v>18</v>
      </c>
      <c r="B434" t="s">
        <v>7</v>
      </c>
      <c r="C434">
        <v>33.880000000000003</v>
      </c>
      <c r="D434">
        <v>0</v>
      </c>
      <c r="E434" t="s">
        <v>11</v>
      </c>
      <c r="F434" t="s">
        <v>12</v>
      </c>
      <c r="G434">
        <v>11482.63485</v>
      </c>
    </row>
    <row r="435" spans="1:7" x14ac:dyDescent="0.3">
      <c r="A435">
        <v>31</v>
      </c>
      <c r="B435" t="s">
        <v>7</v>
      </c>
      <c r="C435">
        <v>29.26</v>
      </c>
      <c r="D435">
        <v>1</v>
      </c>
      <c r="E435" t="s">
        <v>11</v>
      </c>
      <c r="F435" t="s">
        <v>12</v>
      </c>
      <c r="G435">
        <v>4350.5144</v>
      </c>
    </row>
    <row r="436" spans="1:7" x14ac:dyDescent="0.3">
      <c r="A436">
        <v>46</v>
      </c>
      <c r="B436" t="s">
        <v>7</v>
      </c>
      <c r="C436">
        <v>28.05</v>
      </c>
      <c r="D436">
        <v>1</v>
      </c>
      <c r="E436" t="s">
        <v>11</v>
      </c>
      <c r="F436" t="s">
        <v>12</v>
      </c>
      <c r="G436">
        <v>8233.0974999999999</v>
      </c>
    </row>
    <row r="437" spans="1:7" x14ac:dyDescent="0.3">
      <c r="A437">
        <v>20</v>
      </c>
      <c r="B437" t="s">
        <v>7</v>
      </c>
      <c r="C437">
        <v>31.79</v>
      </c>
      <c r="D437">
        <v>2</v>
      </c>
      <c r="E437" t="s">
        <v>11</v>
      </c>
      <c r="F437" t="s">
        <v>12</v>
      </c>
      <c r="G437">
        <v>3056.3881000000001</v>
      </c>
    </row>
    <row r="438" spans="1:7" x14ac:dyDescent="0.3">
      <c r="A438">
        <v>63</v>
      </c>
      <c r="B438" t="s">
        <v>7</v>
      </c>
      <c r="C438">
        <v>36.299999999999997</v>
      </c>
      <c r="D438">
        <v>0</v>
      </c>
      <c r="E438" t="s">
        <v>11</v>
      </c>
      <c r="F438" t="s">
        <v>12</v>
      </c>
      <c r="G438">
        <v>13887.204</v>
      </c>
    </row>
    <row r="439" spans="1:7" x14ac:dyDescent="0.3">
      <c r="A439">
        <v>32</v>
      </c>
      <c r="B439" t="s">
        <v>7</v>
      </c>
      <c r="C439">
        <v>28.93</v>
      </c>
      <c r="D439">
        <v>0</v>
      </c>
      <c r="E439" t="s">
        <v>11</v>
      </c>
      <c r="F439" t="s">
        <v>12</v>
      </c>
      <c r="G439">
        <v>3972.9247</v>
      </c>
    </row>
    <row r="440" spans="1:7" x14ac:dyDescent="0.3">
      <c r="A440">
        <v>58</v>
      </c>
      <c r="B440" t="s">
        <v>7</v>
      </c>
      <c r="C440">
        <v>22.77</v>
      </c>
      <c r="D440">
        <v>0</v>
      </c>
      <c r="E440" t="s">
        <v>11</v>
      </c>
      <c r="F440" t="s">
        <v>12</v>
      </c>
      <c r="G440">
        <v>11833.782300000001</v>
      </c>
    </row>
    <row r="441" spans="1:7" x14ac:dyDescent="0.3">
      <c r="A441">
        <v>31</v>
      </c>
      <c r="B441" t="s">
        <v>7</v>
      </c>
      <c r="C441">
        <v>26.62</v>
      </c>
      <c r="D441">
        <v>0</v>
      </c>
      <c r="E441" t="s">
        <v>11</v>
      </c>
      <c r="F441" t="s">
        <v>12</v>
      </c>
      <c r="G441">
        <v>3757.8447999999999</v>
      </c>
    </row>
    <row r="442" spans="1:7" x14ac:dyDescent="0.3">
      <c r="A442">
        <v>18</v>
      </c>
      <c r="B442" t="s">
        <v>7</v>
      </c>
      <c r="C442">
        <v>32.119999999999997</v>
      </c>
      <c r="D442">
        <v>2</v>
      </c>
      <c r="E442" t="s">
        <v>11</v>
      </c>
      <c r="F442" t="s">
        <v>12</v>
      </c>
      <c r="G442">
        <v>2801.2588000000001</v>
      </c>
    </row>
    <row r="443" spans="1:7" x14ac:dyDescent="0.3">
      <c r="A443">
        <v>18</v>
      </c>
      <c r="B443" t="s">
        <v>7</v>
      </c>
      <c r="C443">
        <v>37.29</v>
      </c>
      <c r="D443">
        <v>1</v>
      </c>
      <c r="E443" t="s">
        <v>11</v>
      </c>
      <c r="F443" t="s">
        <v>12</v>
      </c>
      <c r="G443">
        <v>2219.4450999999999</v>
      </c>
    </row>
    <row r="444" spans="1:7" x14ac:dyDescent="0.3">
      <c r="A444">
        <v>30</v>
      </c>
      <c r="B444" t="s">
        <v>7</v>
      </c>
      <c r="C444">
        <v>43.12</v>
      </c>
      <c r="D444">
        <v>2</v>
      </c>
      <c r="E444" t="s">
        <v>11</v>
      </c>
      <c r="F444" t="s">
        <v>12</v>
      </c>
      <c r="G444">
        <v>4753.6368000000002</v>
      </c>
    </row>
    <row r="445" spans="1:7" x14ac:dyDescent="0.3">
      <c r="A445">
        <v>41</v>
      </c>
      <c r="B445" t="s">
        <v>7</v>
      </c>
      <c r="C445">
        <v>36.08</v>
      </c>
      <c r="D445">
        <v>1</v>
      </c>
      <c r="E445" t="s">
        <v>11</v>
      </c>
      <c r="F445" t="s">
        <v>12</v>
      </c>
      <c r="G445">
        <v>6781.3541999999998</v>
      </c>
    </row>
    <row r="446" spans="1:7" x14ac:dyDescent="0.3">
      <c r="A446">
        <v>32</v>
      </c>
      <c r="B446" t="s">
        <v>7</v>
      </c>
      <c r="C446">
        <v>23.65</v>
      </c>
      <c r="D446">
        <v>1</v>
      </c>
      <c r="E446" t="s">
        <v>11</v>
      </c>
      <c r="F446" t="s">
        <v>12</v>
      </c>
      <c r="G446">
        <v>17626.239509999999</v>
      </c>
    </row>
    <row r="447" spans="1:7" x14ac:dyDescent="0.3">
      <c r="A447">
        <v>33</v>
      </c>
      <c r="B447" t="s">
        <v>7</v>
      </c>
      <c r="C447">
        <v>28.27</v>
      </c>
      <c r="D447">
        <v>1</v>
      </c>
      <c r="E447" t="s">
        <v>11</v>
      </c>
      <c r="F447" t="s">
        <v>12</v>
      </c>
      <c r="G447">
        <v>4779.6022999999996</v>
      </c>
    </row>
    <row r="448" spans="1:7" x14ac:dyDescent="0.3">
      <c r="A448">
        <v>38</v>
      </c>
      <c r="B448" t="s">
        <v>7</v>
      </c>
      <c r="C448">
        <v>30.69</v>
      </c>
      <c r="D448">
        <v>1</v>
      </c>
      <c r="E448" t="s">
        <v>11</v>
      </c>
      <c r="F448" t="s">
        <v>12</v>
      </c>
      <c r="G448">
        <v>5976.8311000000003</v>
      </c>
    </row>
    <row r="449" spans="1:7" x14ac:dyDescent="0.3">
      <c r="A449">
        <v>42</v>
      </c>
      <c r="B449" t="s">
        <v>7</v>
      </c>
      <c r="C449">
        <v>29.48</v>
      </c>
      <c r="D449">
        <v>2</v>
      </c>
      <c r="E449" t="s">
        <v>11</v>
      </c>
      <c r="F449" t="s">
        <v>12</v>
      </c>
      <c r="G449">
        <v>7640.3091999999997</v>
      </c>
    </row>
    <row r="450" spans="1:7" x14ac:dyDescent="0.3">
      <c r="A450">
        <v>18</v>
      </c>
      <c r="B450" t="s">
        <v>7</v>
      </c>
      <c r="C450">
        <v>39.159999999999997</v>
      </c>
      <c r="D450">
        <v>0</v>
      </c>
      <c r="E450" t="s">
        <v>11</v>
      </c>
      <c r="F450" t="s">
        <v>12</v>
      </c>
      <c r="G450">
        <v>1633.0444</v>
      </c>
    </row>
    <row r="451" spans="1:7" x14ac:dyDescent="0.3">
      <c r="A451">
        <v>64</v>
      </c>
      <c r="B451" t="s">
        <v>7</v>
      </c>
      <c r="C451">
        <v>39.049999999999997</v>
      </c>
      <c r="D451">
        <v>3</v>
      </c>
      <c r="E451" t="s">
        <v>11</v>
      </c>
      <c r="F451" t="s">
        <v>12</v>
      </c>
      <c r="G451">
        <v>16085.127500000001</v>
      </c>
    </row>
    <row r="452" spans="1:7" x14ac:dyDescent="0.3">
      <c r="A452">
        <v>51</v>
      </c>
      <c r="B452" t="s">
        <v>7</v>
      </c>
      <c r="C452">
        <v>34.1</v>
      </c>
      <c r="D452">
        <v>0</v>
      </c>
      <c r="E452" t="s">
        <v>11</v>
      </c>
      <c r="F452" t="s">
        <v>12</v>
      </c>
      <c r="G452">
        <v>9283.5619999999999</v>
      </c>
    </row>
    <row r="453" spans="1:7" x14ac:dyDescent="0.3">
      <c r="A453">
        <v>50</v>
      </c>
      <c r="B453" t="s">
        <v>7</v>
      </c>
      <c r="C453">
        <v>23.54</v>
      </c>
      <c r="D453">
        <v>2</v>
      </c>
      <c r="E453" t="s">
        <v>11</v>
      </c>
      <c r="F453" t="s">
        <v>12</v>
      </c>
      <c r="G453">
        <v>10107.220600000001</v>
      </c>
    </row>
    <row r="454" spans="1:7" x14ac:dyDescent="0.3">
      <c r="A454">
        <v>47</v>
      </c>
      <c r="B454" t="s">
        <v>7</v>
      </c>
      <c r="C454">
        <v>29.37</v>
      </c>
      <c r="D454">
        <v>1</v>
      </c>
      <c r="E454" t="s">
        <v>11</v>
      </c>
      <c r="F454" t="s">
        <v>12</v>
      </c>
      <c r="G454">
        <v>8547.6913000000004</v>
      </c>
    </row>
    <row r="455" spans="1:7" x14ac:dyDescent="0.3">
      <c r="A455">
        <v>20</v>
      </c>
      <c r="B455" t="s">
        <v>7</v>
      </c>
      <c r="C455">
        <v>33</v>
      </c>
      <c r="D455">
        <v>0</v>
      </c>
      <c r="E455" t="s">
        <v>11</v>
      </c>
      <c r="F455" t="s">
        <v>12</v>
      </c>
      <c r="G455">
        <v>1880.07</v>
      </c>
    </row>
    <row r="456" spans="1:7" x14ac:dyDescent="0.3">
      <c r="A456">
        <v>21</v>
      </c>
      <c r="B456" t="s">
        <v>7</v>
      </c>
      <c r="C456">
        <v>34.869999999999997</v>
      </c>
      <c r="D456">
        <v>0</v>
      </c>
      <c r="E456" t="s">
        <v>11</v>
      </c>
      <c r="F456" t="s">
        <v>12</v>
      </c>
      <c r="G456">
        <v>2020.5523000000001</v>
      </c>
    </row>
    <row r="457" spans="1:7" x14ac:dyDescent="0.3">
      <c r="A457">
        <v>23</v>
      </c>
      <c r="B457" t="s">
        <v>7</v>
      </c>
      <c r="C457">
        <v>39.270000000000003</v>
      </c>
      <c r="D457">
        <v>2</v>
      </c>
      <c r="E457" t="s">
        <v>11</v>
      </c>
      <c r="F457" t="s">
        <v>12</v>
      </c>
      <c r="G457">
        <v>3500.6122999999998</v>
      </c>
    </row>
    <row r="458" spans="1:7" x14ac:dyDescent="0.3">
      <c r="A458">
        <v>29</v>
      </c>
      <c r="B458" t="s">
        <v>7</v>
      </c>
      <c r="C458">
        <v>35.53</v>
      </c>
      <c r="D458">
        <v>0</v>
      </c>
      <c r="E458" t="s">
        <v>11</v>
      </c>
      <c r="F458" t="s">
        <v>12</v>
      </c>
      <c r="G458">
        <v>3366.6696999999999</v>
      </c>
    </row>
    <row r="459" spans="1:7" x14ac:dyDescent="0.3">
      <c r="A459">
        <v>55</v>
      </c>
      <c r="B459" t="s">
        <v>7</v>
      </c>
      <c r="C459">
        <v>40.81</v>
      </c>
      <c r="D459">
        <v>3</v>
      </c>
      <c r="E459" t="s">
        <v>11</v>
      </c>
      <c r="F459" t="s">
        <v>12</v>
      </c>
      <c r="G459">
        <v>12485.8009</v>
      </c>
    </row>
    <row r="460" spans="1:7" x14ac:dyDescent="0.3">
      <c r="A460">
        <v>41</v>
      </c>
      <c r="B460" t="s">
        <v>7</v>
      </c>
      <c r="C460">
        <v>31.02</v>
      </c>
      <c r="D460">
        <v>0</v>
      </c>
      <c r="E460" t="s">
        <v>11</v>
      </c>
      <c r="F460" t="s">
        <v>12</v>
      </c>
      <c r="G460">
        <v>6185.3208000000004</v>
      </c>
    </row>
    <row r="461" spans="1:7" x14ac:dyDescent="0.3">
      <c r="A461">
        <v>40</v>
      </c>
      <c r="B461" t="s">
        <v>7</v>
      </c>
      <c r="C461">
        <v>29.81</v>
      </c>
      <c r="D461">
        <v>1</v>
      </c>
      <c r="E461" t="s">
        <v>11</v>
      </c>
      <c r="F461" t="s">
        <v>12</v>
      </c>
      <c r="G461">
        <v>6500.2358999999997</v>
      </c>
    </row>
    <row r="462" spans="1:7" x14ac:dyDescent="0.3">
      <c r="A462">
        <v>49</v>
      </c>
      <c r="B462" t="s">
        <v>7</v>
      </c>
      <c r="C462">
        <v>42.68</v>
      </c>
      <c r="D462">
        <v>2</v>
      </c>
      <c r="E462" t="s">
        <v>11</v>
      </c>
      <c r="F462" t="s">
        <v>12</v>
      </c>
      <c r="G462">
        <v>9800.8881999999994</v>
      </c>
    </row>
    <row r="463" spans="1:7" x14ac:dyDescent="0.3">
      <c r="A463">
        <v>53</v>
      </c>
      <c r="B463" t="s">
        <v>7</v>
      </c>
      <c r="C463">
        <v>39.6</v>
      </c>
      <c r="D463">
        <v>1</v>
      </c>
      <c r="E463" t="s">
        <v>11</v>
      </c>
      <c r="F463" t="s">
        <v>12</v>
      </c>
      <c r="G463">
        <v>10579.710999999999</v>
      </c>
    </row>
    <row r="464" spans="1:7" x14ac:dyDescent="0.3">
      <c r="A464">
        <v>48</v>
      </c>
      <c r="B464" t="s">
        <v>7</v>
      </c>
      <c r="C464">
        <v>31.13</v>
      </c>
      <c r="D464">
        <v>0</v>
      </c>
      <c r="E464" t="s">
        <v>11</v>
      </c>
      <c r="F464" t="s">
        <v>12</v>
      </c>
      <c r="G464">
        <v>8280.6226999999999</v>
      </c>
    </row>
    <row r="465" spans="1:7" x14ac:dyDescent="0.3">
      <c r="A465">
        <v>45</v>
      </c>
      <c r="B465" t="s">
        <v>7</v>
      </c>
      <c r="C465">
        <v>36.299999999999997</v>
      </c>
      <c r="D465">
        <v>2</v>
      </c>
      <c r="E465" t="s">
        <v>11</v>
      </c>
      <c r="F465" t="s">
        <v>12</v>
      </c>
      <c r="G465">
        <v>8527.5319999999992</v>
      </c>
    </row>
    <row r="466" spans="1:7" x14ac:dyDescent="0.3">
      <c r="A466">
        <v>59</v>
      </c>
      <c r="B466" t="s">
        <v>7</v>
      </c>
      <c r="C466">
        <v>35.200000000000003</v>
      </c>
      <c r="D466">
        <v>0</v>
      </c>
      <c r="E466" t="s">
        <v>11</v>
      </c>
      <c r="F466" t="s">
        <v>12</v>
      </c>
      <c r="G466">
        <v>12244.531000000001</v>
      </c>
    </row>
    <row r="467" spans="1:7" x14ac:dyDescent="0.3">
      <c r="A467">
        <v>57</v>
      </c>
      <c r="B467" t="s">
        <v>7</v>
      </c>
      <c r="C467">
        <v>23.98</v>
      </c>
      <c r="D467">
        <v>1</v>
      </c>
      <c r="E467" t="s">
        <v>11</v>
      </c>
      <c r="F467" t="s">
        <v>12</v>
      </c>
      <c r="G467">
        <v>22192.437109999999</v>
      </c>
    </row>
    <row r="468" spans="1:7" x14ac:dyDescent="0.3">
      <c r="A468">
        <v>62</v>
      </c>
      <c r="B468" t="s">
        <v>7</v>
      </c>
      <c r="C468">
        <v>26.29</v>
      </c>
      <c r="D468">
        <v>0</v>
      </c>
      <c r="E468" t="s">
        <v>8</v>
      </c>
      <c r="F468" t="s">
        <v>12</v>
      </c>
      <c r="G468">
        <v>27808.7251</v>
      </c>
    </row>
    <row r="469" spans="1:7" x14ac:dyDescent="0.3">
      <c r="A469">
        <v>42</v>
      </c>
      <c r="B469" t="s">
        <v>7</v>
      </c>
      <c r="C469">
        <v>40.369999999999997</v>
      </c>
      <c r="D469">
        <v>2</v>
      </c>
      <c r="E469" t="s">
        <v>8</v>
      </c>
      <c r="F469" t="s">
        <v>12</v>
      </c>
      <c r="G469">
        <v>43896.376300000004</v>
      </c>
    </row>
    <row r="470" spans="1:7" x14ac:dyDescent="0.3">
      <c r="A470">
        <v>53</v>
      </c>
      <c r="B470" t="s">
        <v>7</v>
      </c>
      <c r="C470">
        <v>22.88</v>
      </c>
      <c r="D470">
        <v>1</v>
      </c>
      <c r="E470" t="s">
        <v>8</v>
      </c>
      <c r="F470" t="s">
        <v>12</v>
      </c>
      <c r="G470">
        <v>23244.790199999999</v>
      </c>
    </row>
    <row r="471" spans="1:7" x14ac:dyDescent="0.3">
      <c r="A471">
        <v>27</v>
      </c>
      <c r="B471" t="s">
        <v>7</v>
      </c>
      <c r="C471">
        <v>24.75</v>
      </c>
      <c r="D471">
        <v>0</v>
      </c>
      <c r="E471" t="s">
        <v>8</v>
      </c>
      <c r="F471" t="s">
        <v>12</v>
      </c>
      <c r="G471">
        <v>16577.779500000001</v>
      </c>
    </row>
    <row r="472" spans="1:7" x14ac:dyDescent="0.3">
      <c r="A472">
        <v>61</v>
      </c>
      <c r="B472" t="s">
        <v>7</v>
      </c>
      <c r="C472">
        <v>29.92</v>
      </c>
      <c r="D472">
        <v>3</v>
      </c>
      <c r="E472" t="s">
        <v>8</v>
      </c>
      <c r="F472" t="s">
        <v>12</v>
      </c>
      <c r="G472">
        <v>30942.191800000001</v>
      </c>
    </row>
    <row r="473" spans="1:7" x14ac:dyDescent="0.3">
      <c r="A473">
        <v>20</v>
      </c>
      <c r="B473" t="s">
        <v>7</v>
      </c>
      <c r="C473">
        <v>24.42</v>
      </c>
      <c r="D473">
        <v>0</v>
      </c>
      <c r="E473" t="s">
        <v>8</v>
      </c>
      <c r="F473" t="s">
        <v>12</v>
      </c>
      <c r="G473">
        <v>26125.674770000001</v>
      </c>
    </row>
    <row r="474" spans="1:7" x14ac:dyDescent="0.3">
      <c r="A474">
        <v>29</v>
      </c>
      <c r="B474" t="s">
        <v>7</v>
      </c>
      <c r="C474">
        <v>27.94</v>
      </c>
      <c r="D474">
        <v>1</v>
      </c>
      <c r="E474" t="s">
        <v>8</v>
      </c>
      <c r="F474" t="s">
        <v>12</v>
      </c>
      <c r="G474">
        <v>19107.779600000002</v>
      </c>
    </row>
    <row r="475" spans="1:7" x14ac:dyDescent="0.3">
      <c r="A475">
        <v>18</v>
      </c>
      <c r="B475" t="s">
        <v>7</v>
      </c>
      <c r="C475">
        <v>27.28</v>
      </c>
      <c r="D475">
        <v>3</v>
      </c>
      <c r="E475" t="s">
        <v>8</v>
      </c>
      <c r="F475" t="s">
        <v>12</v>
      </c>
      <c r="G475">
        <v>18223.4512</v>
      </c>
    </row>
    <row r="476" spans="1:7" x14ac:dyDescent="0.3">
      <c r="A476">
        <v>23</v>
      </c>
      <c r="B476" t="s">
        <v>7</v>
      </c>
      <c r="C476">
        <v>28.49</v>
      </c>
      <c r="D476">
        <v>1</v>
      </c>
      <c r="E476" t="s">
        <v>8</v>
      </c>
      <c r="F476" t="s">
        <v>12</v>
      </c>
      <c r="G476">
        <v>18328.238099999999</v>
      </c>
    </row>
    <row r="477" spans="1:7" x14ac:dyDescent="0.3">
      <c r="A477">
        <v>18</v>
      </c>
      <c r="B477" t="s">
        <v>7</v>
      </c>
      <c r="C477">
        <v>36.85</v>
      </c>
      <c r="D477">
        <v>0</v>
      </c>
      <c r="E477" t="s">
        <v>8</v>
      </c>
      <c r="F477" t="s">
        <v>12</v>
      </c>
      <c r="G477">
        <v>36149.483500000002</v>
      </c>
    </row>
    <row r="478" spans="1:7" x14ac:dyDescent="0.3">
      <c r="A478">
        <v>27</v>
      </c>
      <c r="B478" t="s">
        <v>7</v>
      </c>
      <c r="C478">
        <v>36.08</v>
      </c>
      <c r="D478">
        <v>0</v>
      </c>
      <c r="E478" t="s">
        <v>8</v>
      </c>
      <c r="F478" t="s">
        <v>12</v>
      </c>
      <c r="G478">
        <v>37133.898200000003</v>
      </c>
    </row>
    <row r="479" spans="1:7" x14ac:dyDescent="0.3">
      <c r="A479">
        <v>43</v>
      </c>
      <c r="B479" t="s">
        <v>7</v>
      </c>
      <c r="C479">
        <v>32.56</v>
      </c>
      <c r="D479">
        <v>3</v>
      </c>
      <c r="E479" t="s">
        <v>8</v>
      </c>
      <c r="F479" t="s">
        <v>12</v>
      </c>
      <c r="G479">
        <v>40941.285400000001</v>
      </c>
    </row>
    <row r="480" spans="1:7" x14ac:dyDescent="0.3">
      <c r="A480">
        <v>40</v>
      </c>
      <c r="B480" t="s">
        <v>7</v>
      </c>
      <c r="C480">
        <v>22.22</v>
      </c>
      <c r="D480">
        <v>2</v>
      </c>
      <c r="E480" t="s">
        <v>8</v>
      </c>
      <c r="F480" t="s">
        <v>12</v>
      </c>
      <c r="G480">
        <v>19444.265800000001</v>
      </c>
    </row>
    <row r="481" spans="1:7" x14ac:dyDescent="0.3">
      <c r="A481">
        <v>48</v>
      </c>
      <c r="B481" t="s">
        <v>7</v>
      </c>
      <c r="C481">
        <v>25.85</v>
      </c>
      <c r="D481">
        <v>3</v>
      </c>
      <c r="E481" t="s">
        <v>8</v>
      </c>
      <c r="F481" t="s">
        <v>12</v>
      </c>
      <c r="G481">
        <v>24180.933499999999</v>
      </c>
    </row>
    <row r="482" spans="1:7" x14ac:dyDescent="0.3">
      <c r="A482">
        <v>20</v>
      </c>
      <c r="B482" t="s">
        <v>7</v>
      </c>
      <c r="C482">
        <v>26.84</v>
      </c>
      <c r="D482">
        <v>1</v>
      </c>
      <c r="E482" t="s">
        <v>8</v>
      </c>
      <c r="F482" t="s">
        <v>12</v>
      </c>
      <c r="G482">
        <v>17085.267599999999</v>
      </c>
    </row>
    <row r="483" spans="1:7" x14ac:dyDescent="0.3">
      <c r="A483">
        <v>55</v>
      </c>
      <c r="B483" t="s">
        <v>7</v>
      </c>
      <c r="C483">
        <v>35.200000000000003</v>
      </c>
      <c r="D483">
        <v>0</v>
      </c>
      <c r="E483" t="s">
        <v>8</v>
      </c>
      <c r="F483" t="s">
        <v>12</v>
      </c>
      <c r="G483">
        <v>44423.803</v>
      </c>
    </row>
    <row r="484" spans="1:7" x14ac:dyDescent="0.3">
      <c r="A484">
        <v>22</v>
      </c>
      <c r="B484" t="s">
        <v>7</v>
      </c>
      <c r="C484">
        <v>31.02</v>
      </c>
      <c r="D484">
        <v>3</v>
      </c>
      <c r="E484" t="s">
        <v>8</v>
      </c>
      <c r="F484" t="s">
        <v>12</v>
      </c>
      <c r="G484">
        <v>35595.589800000002</v>
      </c>
    </row>
    <row r="485" spans="1:7" x14ac:dyDescent="0.3">
      <c r="A485">
        <v>48</v>
      </c>
      <c r="B485" t="s">
        <v>7</v>
      </c>
      <c r="C485">
        <v>33.11</v>
      </c>
      <c r="D485">
        <v>0</v>
      </c>
      <c r="E485" t="s">
        <v>8</v>
      </c>
      <c r="F485" t="s">
        <v>12</v>
      </c>
      <c r="G485">
        <v>40974.164900000003</v>
      </c>
    </row>
    <row r="486" spans="1:7" x14ac:dyDescent="0.3">
      <c r="A486">
        <v>30</v>
      </c>
      <c r="B486" t="s">
        <v>7</v>
      </c>
      <c r="C486">
        <v>28.38</v>
      </c>
      <c r="D486">
        <v>1</v>
      </c>
      <c r="E486" t="s">
        <v>8</v>
      </c>
      <c r="F486" t="s">
        <v>12</v>
      </c>
      <c r="G486">
        <v>19521.968199999999</v>
      </c>
    </row>
    <row r="487" spans="1:7" x14ac:dyDescent="0.3">
      <c r="A487">
        <v>60</v>
      </c>
      <c r="B487" t="s">
        <v>7</v>
      </c>
      <c r="C487">
        <v>32.450000000000003</v>
      </c>
      <c r="D487">
        <v>0</v>
      </c>
      <c r="E487" t="s">
        <v>8</v>
      </c>
      <c r="F487" t="s">
        <v>12</v>
      </c>
      <c r="G487">
        <v>45008.955499999996</v>
      </c>
    </row>
    <row r="488" spans="1:7" x14ac:dyDescent="0.3">
      <c r="A488">
        <v>57</v>
      </c>
      <c r="B488" t="s">
        <v>7</v>
      </c>
      <c r="C488">
        <v>29.81</v>
      </c>
      <c r="D488">
        <v>0</v>
      </c>
      <c r="E488" t="s">
        <v>8</v>
      </c>
      <c r="F488" t="s">
        <v>12</v>
      </c>
      <c r="G488">
        <v>27533.912899999999</v>
      </c>
    </row>
    <row r="489" spans="1:7" x14ac:dyDescent="0.3">
      <c r="A489">
        <v>23</v>
      </c>
      <c r="B489" t="s">
        <v>7</v>
      </c>
      <c r="C489">
        <v>32.78</v>
      </c>
      <c r="D489">
        <v>2</v>
      </c>
      <c r="E489" t="s">
        <v>8</v>
      </c>
      <c r="F489" t="s">
        <v>12</v>
      </c>
      <c r="G489">
        <v>36021.011200000001</v>
      </c>
    </row>
    <row r="490" spans="1:7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">
      <c r="A491">
        <v>18</v>
      </c>
      <c r="B491" t="s">
        <v>7</v>
      </c>
      <c r="C491">
        <v>42.24</v>
      </c>
      <c r="D491">
        <v>0</v>
      </c>
      <c r="E491" t="s">
        <v>8</v>
      </c>
      <c r="F491" t="s">
        <v>12</v>
      </c>
      <c r="G491">
        <v>38792.685599999997</v>
      </c>
    </row>
    <row r="492" spans="1:7" x14ac:dyDescent="0.3">
      <c r="A492">
        <v>54</v>
      </c>
      <c r="B492" t="s">
        <v>7</v>
      </c>
      <c r="C492">
        <v>47.41</v>
      </c>
      <c r="D492">
        <v>0</v>
      </c>
      <c r="E492" t="s">
        <v>8</v>
      </c>
      <c r="F492" t="s">
        <v>12</v>
      </c>
      <c r="G492">
        <v>63770.428010000003</v>
      </c>
    </row>
    <row r="493" spans="1:7" x14ac:dyDescent="0.3">
      <c r="A493">
        <v>43</v>
      </c>
      <c r="B493" t="s">
        <v>7</v>
      </c>
      <c r="C493">
        <v>46.2</v>
      </c>
      <c r="D493">
        <v>0</v>
      </c>
      <c r="E493" t="s">
        <v>8</v>
      </c>
      <c r="F493" t="s">
        <v>12</v>
      </c>
      <c r="G493">
        <v>45863.205000000002</v>
      </c>
    </row>
    <row r="494" spans="1:7" x14ac:dyDescent="0.3">
      <c r="A494">
        <v>47</v>
      </c>
      <c r="B494" t="s">
        <v>7</v>
      </c>
      <c r="C494">
        <v>27.83</v>
      </c>
      <c r="D494">
        <v>0</v>
      </c>
      <c r="E494" t="s">
        <v>8</v>
      </c>
      <c r="F494" t="s">
        <v>12</v>
      </c>
      <c r="G494">
        <v>23065.420699999999</v>
      </c>
    </row>
    <row r="495" spans="1:7" x14ac:dyDescent="0.3">
      <c r="A495">
        <v>37</v>
      </c>
      <c r="B495" t="s">
        <v>7</v>
      </c>
      <c r="C495">
        <v>26.4</v>
      </c>
      <c r="D495">
        <v>0</v>
      </c>
      <c r="E495" t="s">
        <v>8</v>
      </c>
      <c r="F495" t="s">
        <v>12</v>
      </c>
      <c r="G495">
        <v>19539.242999999999</v>
      </c>
    </row>
    <row r="496" spans="1:7" x14ac:dyDescent="0.3">
      <c r="A496">
        <v>37</v>
      </c>
      <c r="B496" t="s">
        <v>7</v>
      </c>
      <c r="C496">
        <v>38.39</v>
      </c>
      <c r="D496">
        <v>0</v>
      </c>
      <c r="E496" t="s">
        <v>8</v>
      </c>
      <c r="F496" t="s">
        <v>12</v>
      </c>
      <c r="G496">
        <v>40419.019099999998</v>
      </c>
    </row>
    <row r="497" spans="1:7" x14ac:dyDescent="0.3">
      <c r="A497">
        <v>30</v>
      </c>
      <c r="B497" t="s">
        <v>7</v>
      </c>
      <c r="C497">
        <v>39.049999999999997</v>
      </c>
      <c r="D497">
        <v>3</v>
      </c>
      <c r="E497" t="s">
        <v>8</v>
      </c>
      <c r="F497" t="s">
        <v>12</v>
      </c>
      <c r="G497">
        <v>40932.429499999998</v>
      </c>
    </row>
    <row r="498" spans="1:7" x14ac:dyDescent="0.3">
      <c r="A498">
        <v>47</v>
      </c>
      <c r="B498" t="s">
        <v>7</v>
      </c>
      <c r="C498">
        <v>36.630000000000003</v>
      </c>
      <c r="D498">
        <v>1</v>
      </c>
      <c r="E498" t="s">
        <v>8</v>
      </c>
      <c r="F498" t="s">
        <v>12</v>
      </c>
      <c r="G498">
        <v>42969.852700000003</v>
      </c>
    </row>
    <row r="499" spans="1:7" x14ac:dyDescent="0.3">
      <c r="A499">
        <v>19</v>
      </c>
      <c r="B499" t="s">
        <v>7</v>
      </c>
      <c r="C499">
        <v>33.11</v>
      </c>
      <c r="D499">
        <v>0</v>
      </c>
      <c r="E499" t="s">
        <v>8</v>
      </c>
      <c r="F499" t="s">
        <v>12</v>
      </c>
      <c r="G499">
        <v>34439.855900000002</v>
      </c>
    </row>
    <row r="500" spans="1:7" x14ac:dyDescent="0.3">
      <c r="A500">
        <v>51</v>
      </c>
      <c r="B500" t="s">
        <v>7</v>
      </c>
      <c r="C500">
        <v>38.06</v>
      </c>
      <c r="D500">
        <v>0</v>
      </c>
      <c r="E500" t="s">
        <v>8</v>
      </c>
      <c r="F500" t="s">
        <v>12</v>
      </c>
      <c r="G500">
        <v>44400.4064</v>
      </c>
    </row>
    <row r="501" spans="1:7" x14ac:dyDescent="0.3">
      <c r="A501">
        <v>44</v>
      </c>
      <c r="B501" t="s">
        <v>7</v>
      </c>
      <c r="C501">
        <v>43.89</v>
      </c>
      <c r="D501">
        <v>2</v>
      </c>
      <c r="E501" t="s">
        <v>8</v>
      </c>
      <c r="F501" t="s">
        <v>12</v>
      </c>
      <c r="G501">
        <v>46200.985099999998</v>
      </c>
    </row>
    <row r="502" spans="1:7" x14ac:dyDescent="0.3">
      <c r="A502">
        <v>52</v>
      </c>
      <c r="B502" t="s">
        <v>7</v>
      </c>
      <c r="C502">
        <v>25.3</v>
      </c>
      <c r="D502">
        <v>2</v>
      </c>
      <c r="E502" t="s">
        <v>8</v>
      </c>
      <c r="F502" t="s">
        <v>12</v>
      </c>
      <c r="G502">
        <v>24667.419000000002</v>
      </c>
    </row>
    <row r="503" spans="1:7" x14ac:dyDescent="0.3">
      <c r="A503">
        <v>64</v>
      </c>
      <c r="B503" t="s">
        <v>7</v>
      </c>
      <c r="C503">
        <v>22.99</v>
      </c>
      <c r="D503">
        <v>0</v>
      </c>
      <c r="E503" t="s">
        <v>8</v>
      </c>
      <c r="F503" t="s">
        <v>12</v>
      </c>
      <c r="G503">
        <v>27037.914100000002</v>
      </c>
    </row>
    <row r="504" spans="1:7" x14ac:dyDescent="0.3">
      <c r="A504">
        <v>21</v>
      </c>
      <c r="B504" t="s">
        <v>7</v>
      </c>
      <c r="C504">
        <v>25.8</v>
      </c>
      <c r="D504">
        <v>0</v>
      </c>
      <c r="E504" t="s">
        <v>11</v>
      </c>
      <c r="F504" t="s">
        <v>9</v>
      </c>
      <c r="G504">
        <v>2007.9449999999999</v>
      </c>
    </row>
    <row r="505" spans="1:7" x14ac:dyDescent="0.3">
      <c r="A505">
        <v>52</v>
      </c>
      <c r="B505" t="s">
        <v>7</v>
      </c>
      <c r="C505">
        <v>44.7</v>
      </c>
      <c r="D505">
        <v>3</v>
      </c>
      <c r="E505" t="s">
        <v>11</v>
      </c>
      <c r="F505" t="s">
        <v>9</v>
      </c>
      <c r="G505">
        <v>11411.684999999999</v>
      </c>
    </row>
    <row r="506" spans="1:7" x14ac:dyDescent="0.3">
      <c r="A506">
        <v>23</v>
      </c>
      <c r="B506" t="s">
        <v>7</v>
      </c>
      <c r="C506">
        <v>33.4</v>
      </c>
      <c r="D506">
        <v>0</v>
      </c>
      <c r="E506" t="s">
        <v>11</v>
      </c>
      <c r="F506" t="s">
        <v>9</v>
      </c>
      <c r="G506">
        <v>10795.937330000001</v>
      </c>
    </row>
    <row r="507" spans="1:7" x14ac:dyDescent="0.3">
      <c r="A507">
        <v>19</v>
      </c>
      <c r="B507" t="s">
        <v>7</v>
      </c>
      <c r="C507">
        <v>20.6</v>
      </c>
      <c r="D507">
        <v>0</v>
      </c>
      <c r="E507" t="s">
        <v>11</v>
      </c>
      <c r="F507" t="s">
        <v>9</v>
      </c>
      <c r="G507">
        <v>1731.6769999999999</v>
      </c>
    </row>
    <row r="508" spans="1:7" x14ac:dyDescent="0.3">
      <c r="A508">
        <v>30</v>
      </c>
      <c r="B508" t="s">
        <v>7</v>
      </c>
      <c r="C508">
        <v>32.4</v>
      </c>
      <c r="D508">
        <v>1</v>
      </c>
      <c r="E508" t="s">
        <v>11</v>
      </c>
      <c r="F508" t="s">
        <v>9</v>
      </c>
      <c r="G508">
        <v>4149.7359999999999</v>
      </c>
    </row>
    <row r="509" spans="1:7" x14ac:dyDescent="0.3">
      <c r="A509">
        <v>19</v>
      </c>
      <c r="B509" t="s">
        <v>7</v>
      </c>
      <c r="C509">
        <v>28.6</v>
      </c>
      <c r="D509">
        <v>5</v>
      </c>
      <c r="E509" t="s">
        <v>11</v>
      </c>
      <c r="F509" t="s">
        <v>9</v>
      </c>
      <c r="G509">
        <v>4687.7969999999996</v>
      </c>
    </row>
    <row r="510" spans="1:7" x14ac:dyDescent="0.3">
      <c r="A510">
        <v>25</v>
      </c>
      <c r="B510" t="s">
        <v>7</v>
      </c>
      <c r="C510">
        <v>20.8</v>
      </c>
      <c r="D510">
        <v>1</v>
      </c>
      <c r="E510" t="s">
        <v>11</v>
      </c>
      <c r="F510" t="s">
        <v>9</v>
      </c>
      <c r="G510">
        <v>3208.7869999999998</v>
      </c>
    </row>
    <row r="511" spans="1:7" x14ac:dyDescent="0.3">
      <c r="A511">
        <v>36</v>
      </c>
      <c r="B511" t="s">
        <v>7</v>
      </c>
      <c r="C511">
        <v>25.9</v>
      </c>
      <c r="D511">
        <v>1</v>
      </c>
      <c r="E511" t="s">
        <v>11</v>
      </c>
      <c r="F511" t="s">
        <v>9</v>
      </c>
      <c r="G511">
        <v>5472.4489999999996</v>
      </c>
    </row>
    <row r="512" spans="1:7" x14ac:dyDescent="0.3">
      <c r="A512">
        <v>20</v>
      </c>
      <c r="B512" t="s">
        <v>7</v>
      </c>
      <c r="C512">
        <v>33.299999999999997</v>
      </c>
      <c r="D512">
        <v>0</v>
      </c>
      <c r="E512" t="s">
        <v>11</v>
      </c>
      <c r="F512" t="s">
        <v>9</v>
      </c>
      <c r="G512">
        <v>1880.4870000000001</v>
      </c>
    </row>
    <row r="513" spans="1:7" x14ac:dyDescent="0.3">
      <c r="A513">
        <v>55</v>
      </c>
      <c r="B513" t="s">
        <v>7</v>
      </c>
      <c r="C513">
        <v>30.5</v>
      </c>
      <c r="D513">
        <v>0</v>
      </c>
      <c r="E513" t="s">
        <v>11</v>
      </c>
      <c r="F513" t="s">
        <v>9</v>
      </c>
      <c r="G513">
        <v>10704.47</v>
      </c>
    </row>
    <row r="514" spans="1:7" x14ac:dyDescent="0.3">
      <c r="A514">
        <v>19</v>
      </c>
      <c r="B514" t="s">
        <v>7</v>
      </c>
      <c r="C514">
        <v>28.9</v>
      </c>
      <c r="D514">
        <v>0</v>
      </c>
      <c r="E514" t="s">
        <v>11</v>
      </c>
      <c r="F514" t="s">
        <v>9</v>
      </c>
      <c r="G514">
        <v>1743.2139999999999</v>
      </c>
    </row>
    <row r="515" spans="1:7" x14ac:dyDescent="0.3">
      <c r="A515">
        <v>61</v>
      </c>
      <c r="B515" t="s">
        <v>7</v>
      </c>
      <c r="C515">
        <v>39.1</v>
      </c>
      <c r="D515">
        <v>2</v>
      </c>
      <c r="E515" t="s">
        <v>11</v>
      </c>
      <c r="F515" t="s">
        <v>9</v>
      </c>
      <c r="G515">
        <v>14235.072</v>
      </c>
    </row>
    <row r="516" spans="1:7" x14ac:dyDescent="0.3">
      <c r="A516">
        <v>43</v>
      </c>
      <c r="B516" t="s">
        <v>7</v>
      </c>
      <c r="C516">
        <v>29.9</v>
      </c>
      <c r="D516">
        <v>1</v>
      </c>
      <c r="E516" t="s">
        <v>11</v>
      </c>
      <c r="F516" t="s">
        <v>9</v>
      </c>
      <c r="G516">
        <v>7337.7479999999996</v>
      </c>
    </row>
    <row r="517" spans="1:7" x14ac:dyDescent="0.3">
      <c r="A517">
        <v>53</v>
      </c>
      <c r="B517" t="s">
        <v>7</v>
      </c>
      <c r="C517">
        <v>28.1</v>
      </c>
      <c r="D517">
        <v>3</v>
      </c>
      <c r="E517" t="s">
        <v>11</v>
      </c>
      <c r="F517" t="s">
        <v>9</v>
      </c>
      <c r="G517">
        <v>11741.726000000001</v>
      </c>
    </row>
    <row r="518" spans="1:7" x14ac:dyDescent="0.3">
      <c r="A518">
        <v>42</v>
      </c>
      <c r="B518" t="s">
        <v>7</v>
      </c>
      <c r="C518">
        <v>37.9</v>
      </c>
      <c r="D518">
        <v>0</v>
      </c>
      <c r="E518" t="s">
        <v>11</v>
      </c>
      <c r="F518" t="s">
        <v>9</v>
      </c>
      <c r="G518">
        <v>6474.0129999999999</v>
      </c>
    </row>
    <row r="519" spans="1:7" x14ac:dyDescent="0.3">
      <c r="A519">
        <v>40</v>
      </c>
      <c r="B519" t="s">
        <v>7</v>
      </c>
      <c r="C519">
        <v>29.3</v>
      </c>
      <c r="D519">
        <v>4</v>
      </c>
      <c r="E519" t="s">
        <v>11</v>
      </c>
      <c r="F519" t="s">
        <v>9</v>
      </c>
      <c r="G519">
        <v>15828.82173</v>
      </c>
    </row>
    <row r="520" spans="1:7" x14ac:dyDescent="0.3">
      <c r="A520">
        <v>56</v>
      </c>
      <c r="B520" t="s">
        <v>7</v>
      </c>
      <c r="C520">
        <v>27.2</v>
      </c>
      <c r="D520">
        <v>0</v>
      </c>
      <c r="E520" t="s">
        <v>11</v>
      </c>
      <c r="F520" t="s">
        <v>9</v>
      </c>
      <c r="G520">
        <v>11073.175999999999</v>
      </c>
    </row>
    <row r="521" spans="1:7" x14ac:dyDescent="0.3">
      <c r="A521">
        <v>45</v>
      </c>
      <c r="B521" t="s">
        <v>7</v>
      </c>
      <c r="C521">
        <v>25.7</v>
      </c>
      <c r="D521">
        <v>3</v>
      </c>
      <c r="E521" t="s">
        <v>11</v>
      </c>
      <c r="F521" t="s">
        <v>9</v>
      </c>
      <c r="G521">
        <v>9101.7980000000007</v>
      </c>
    </row>
    <row r="522" spans="1:7" x14ac:dyDescent="0.3">
      <c r="A522">
        <v>54</v>
      </c>
      <c r="B522" t="s">
        <v>7</v>
      </c>
      <c r="C522">
        <v>30.8</v>
      </c>
      <c r="D522">
        <v>3</v>
      </c>
      <c r="E522" t="s">
        <v>11</v>
      </c>
      <c r="F522" t="s">
        <v>9</v>
      </c>
      <c r="G522">
        <v>12105.32</v>
      </c>
    </row>
    <row r="523" spans="1:7" x14ac:dyDescent="0.3">
      <c r="A523">
        <v>41</v>
      </c>
      <c r="B523" t="s">
        <v>7</v>
      </c>
      <c r="C523">
        <v>31.6</v>
      </c>
      <c r="D523">
        <v>0</v>
      </c>
      <c r="E523" t="s">
        <v>11</v>
      </c>
      <c r="F523" t="s">
        <v>9</v>
      </c>
      <c r="G523">
        <v>6186.1270000000004</v>
      </c>
    </row>
    <row r="524" spans="1:7" x14ac:dyDescent="0.3">
      <c r="A524">
        <v>34</v>
      </c>
      <c r="B524" t="s">
        <v>7</v>
      </c>
      <c r="C524">
        <v>27.5</v>
      </c>
      <c r="D524">
        <v>1</v>
      </c>
      <c r="E524" t="s">
        <v>11</v>
      </c>
      <c r="F524" t="s">
        <v>9</v>
      </c>
      <c r="G524">
        <v>5003.8530000000001</v>
      </c>
    </row>
    <row r="525" spans="1:7" x14ac:dyDescent="0.3">
      <c r="A525">
        <v>19</v>
      </c>
      <c r="B525" t="s">
        <v>7</v>
      </c>
      <c r="C525">
        <v>28.4</v>
      </c>
      <c r="D525">
        <v>1</v>
      </c>
      <c r="E525" t="s">
        <v>11</v>
      </c>
      <c r="F525" t="s">
        <v>9</v>
      </c>
      <c r="G525">
        <v>2331.5189999999998</v>
      </c>
    </row>
    <row r="526" spans="1:7" x14ac:dyDescent="0.3">
      <c r="A526">
        <v>55</v>
      </c>
      <c r="B526" t="s">
        <v>7</v>
      </c>
      <c r="C526">
        <v>29.7</v>
      </c>
      <c r="D526">
        <v>2</v>
      </c>
      <c r="E526" t="s">
        <v>11</v>
      </c>
      <c r="F526" t="s">
        <v>9</v>
      </c>
      <c r="G526">
        <v>11881.358</v>
      </c>
    </row>
    <row r="527" spans="1:7" x14ac:dyDescent="0.3">
      <c r="A527">
        <v>52</v>
      </c>
      <c r="B527" t="s">
        <v>7</v>
      </c>
      <c r="C527">
        <v>33.299999999999997</v>
      </c>
      <c r="D527">
        <v>2</v>
      </c>
      <c r="E527" t="s">
        <v>11</v>
      </c>
      <c r="F527" t="s">
        <v>9</v>
      </c>
      <c r="G527">
        <v>10806.839</v>
      </c>
    </row>
    <row r="528" spans="1:7" x14ac:dyDescent="0.3">
      <c r="A528">
        <v>52</v>
      </c>
      <c r="B528" t="s">
        <v>7</v>
      </c>
      <c r="C528">
        <v>37.4</v>
      </c>
      <c r="D528">
        <v>0</v>
      </c>
      <c r="E528" t="s">
        <v>11</v>
      </c>
      <c r="F528" t="s">
        <v>9</v>
      </c>
      <c r="G528">
        <v>9634.5380000000005</v>
      </c>
    </row>
    <row r="529" spans="1:7" x14ac:dyDescent="0.3">
      <c r="A529">
        <v>59</v>
      </c>
      <c r="B529" t="s">
        <v>7</v>
      </c>
      <c r="C529">
        <v>34.799999999999997</v>
      </c>
      <c r="D529">
        <v>2</v>
      </c>
      <c r="E529" t="s">
        <v>11</v>
      </c>
      <c r="F529" t="s">
        <v>9</v>
      </c>
      <c r="G529">
        <v>36910.608030000003</v>
      </c>
    </row>
    <row r="530" spans="1:7" x14ac:dyDescent="0.3">
      <c r="A530">
        <v>53</v>
      </c>
      <c r="B530" t="s">
        <v>7</v>
      </c>
      <c r="C530">
        <v>35.9</v>
      </c>
      <c r="D530">
        <v>2</v>
      </c>
      <c r="E530" t="s">
        <v>11</v>
      </c>
      <c r="F530" t="s">
        <v>9</v>
      </c>
      <c r="G530">
        <v>11163.567999999999</v>
      </c>
    </row>
    <row r="531" spans="1:7" x14ac:dyDescent="0.3">
      <c r="A531">
        <v>31</v>
      </c>
      <c r="B531" t="s">
        <v>7</v>
      </c>
      <c r="C531">
        <v>25.8</v>
      </c>
      <c r="D531">
        <v>2</v>
      </c>
      <c r="E531" t="s">
        <v>11</v>
      </c>
      <c r="F531" t="s">
        <v>9</v>
      </c>
      <c r="G531">
        <v>4934.7049999999999</v>
      </c>
    </row>
    <row r="532" spans="1:7" x14ac:dyDescent="0.3">
      <c r="A532">
        <v>22</v>
      </c>
      <c r="B532" t="s">
        <v>7</v>
      </c>
      <c r="C532">
        <v>36</v>
      </c>
      <c r="D532">
        <v>0</v>
      </c>
      <c r="E532" t="s">
        <v>11</v>
      </c>
      <c r="F532" t="s">
        <v>9</v>
      </c>
      <c r="G532">
        <v>2166.732</v>
      </c>
    </row>
    <row r="533" spans="1:7" x14ac:dyDescent="0.3">
      <c r="A533">
        <v>23</v>
      </c>
      <c r="B533" t="s">
        <v>7</v>
      </c>
      <c r="C533">
        <v>28</v>
      </c>
      <c r="D533">
        <v>0</v>
      </c>
      <c r="E533" t="s">
        <v>11</v>
      </c>
      <c r="F533" t="s">
        <v>9</v>
      </c>
      <c r="G533">
        <v>13126.677449999999</v>
      </c>
    </row>
    <row r="534" spans="1:7" x14ac:dyDescent="0.3">
      <c r="A534">
        <v>25</v>
      </c>
      <c r="B534" t="s">
        <v>7</v>
      </c>
      <c r="C534">
        <v>30.3</v>
      </c>
      <c r="D534">
        <v>0</v>
      </c>
      <c r="E534" t="s">
        <v>11</v>
      </c>
      <c r="F534" t="s">
        <v>9</v>
      </c>
      <c r="G534">
        <v>2632.9920000000002</v>
      </c>
    </row>
    <row r="535" spans="1:7" x14ac:dyDescent="0.3">
      <c r="A535">
        <v>32</v>
      </c>
      <c r="B535" t="s">
        <v>7</v>
      </c>
      <c r="C535">
        <v>29.8</v>
      </c>
      <c r="D535">
        <v>2</v>
      </c>
      <c r="E535" t="s">
        <v>11</v>
      </c>
      <c r="F535" t="s">
        <v>9</v>
      </c>
      <c r="G535">
        <v>5152.134</v>
      </c>
    </row>
    <row r="536" spans="1:7" x14ac:dyDescent="0.3">
      <c r="A536">
        <v>40</v>
      </c>
      <c r="B536" t="s">
        <v>7</v>
      </c>
      <c r="C536">
        <v>27.4</v>
      </c>
      <c r="D536">
        <v>1</v>
      </c>
      <c r="E536" t="s">
        <v>11</v>
      </c>
      <c r="F536" t="s">
        <v>9</v>
      </c>
      <c r="G536">
        <v>6496.8860000000004</v>
      </c>
    </row>
    <row r="537" spans="1:7" x14ac:dyDescent="0.3">
      <c r="A537">
        <v>20</v>
      </c>
      <c r="B537" t="s">
        <v>7</v>
      </c>
      <c r="C537">
        <v>37</v>
      </c>
      <c r="D537">
        <v>5</v>
      </c>
      <c r="E537" t="s">
        <v>11</v>
      </c>
      <c r="F537" t="s">
        <v>9</v>
      </c>
      <c r="G537">
        <v>4830.63</v>
      </c>
    </row>
    <row r="538" spans="1:7" x14ac:dyDescent="0.3">
      <c r="A538">
        <v>22</v>
      </c>
      <c r="B538" t="s">
        <v>7</v>
      </c>
      <c r="C538">
        <v>27.1</v>
      </c>
      <c r="D538">
        <v>0</v>
      </c>
      <c r="E538" t="s">
        <v>11</v>
      </c>
      <c r="F538" t="s">
        <v>9</v>
      </c>
      <c r="G538">
        <v>2154.3609999999999</v>
      </c>
    </row>
    <row r="539" spans="1:7" x14ac:dyDescent="0.3">
      <c r="A539">
        <v>35</v>
      </c>
      <c r="B539" t="s">
        <v>7</v>
      </c>
      <c r="C539">
        <v>34.799999999999997</v>
      </c>
      <c r="D539">
        <v>1</v>
      </c>
      <c r="E539" t="s">
        <v>11</v>
      </c>
      <c r="F539" t="s">
        <v>9</v>
      </c>
      <c r="G539">
        <v>5246.0469999999996</v>
      </c>
    </row>
    <row r="540" spans="1:7" x14ac:dyDescent="0.3">
      <c r="A540">
        <v>29</v>
      </c>
      <c r="B540" t="s">
        <v>7</v>
      </c>
      <c r="C540">
        <v>24.6</v>
      </c>
      <c r="D540">
        <v>2</v>
      </c>
      <c r="E540" t="s">
        <v>11</v>
      </c>
      <c r="F540" t="s">
        <v>9</v>
      </c>
      <c r="G540">
        <v>4529.4769999999999</v>
      </c>
    </row>
    <row r="541" spans="1:7" x14ac:dyDescent="0.3">
      <c r="A541">
        <v>46</v>
      </c>
      <c r="B541" t="s">
        <v>7</v>
      </c>
      <c r="C541">
        <v>28.9</v>
      </c>
      <c r="D541">
        <v>2</v>
      </c>
      <c r="E541" t="s">
        <v>11</v>
      </c>
      <c r="F541" t="s">
        <v>9</v>
      </c>
      <c r="G541">
        <v>8823.2790000000005</v>
      </c>
    </row>
    <row r="542" spans="1:7" x14ac:dyDescent="0.3">
      <c r="A542">
        <v>30</v>
      </c>
      <c r="B542" t="s">
        <v>7</v>
      </c>
      <c r="C542">
        <v>30.9</v>
      </c>
      <c r="D542">
        <v>3</v>
      </c>
      <c r="E542" t="s">
        <v>11</v>
      </c>
      <c r="F542" t="s">
        <v>9</v>
      </c>
      <c r="G542">
        <v>5325.6509999999998</v>
      </c>
    </row>
    <row r="543" spans="1:7" x14ac:dyDescent="0.3">
      <c r="A543">
        <v>41</v>
      </c>
      <c r="B543" t="s">
        <v>7</v>
      </c>
      <c r="C543">
        <v>32.200000000000003</v>
      </c>
      <c r="D543">
        <v>1</v>
      </c>
      <c r="E543" t="s">
        <v>11</v>
      </c>
      <c r="F543" t="s">
        <v>9</v>
      </c>
      <c r="G543">
        <v>6775.9610000000002</v>
      </c>
    </row>
    <row r="544" spans="1:7" x14ac:dyDescent="0.3">
      <c r="A544">
        <v>32</v>
      </c>
      <c r="B544" t="s">
        <v>7</v>
      </c>
      <c r="C544">
        <v>41.1</v>
      </c>
      <c r="D544">
        <v>0</v>
      </c>
      <c r="E544" t="s">
        <v>11</v>
      </c>
      <c r="F544" t="s">
        <v>9</v>
      </c>
      <c r="G544">
        <v>3989.8409999999999</v>
      </c>
    </row>
    <row r="545" spans="1:7" x14ac:dyDescent="0.3">
      <c r="A545">
        <v>36</v>
      </c>
      <c r="B545" t="s">
        <v>7</v>
      </c>
      <c r="C545">
        <v>26.2</v>
      </c>
      <c r="D545">
        <v>0</v>
      </c>
      <c r="E545" t="s">
        <v>11</v>
      </c>
      <c r="F545" t="s">
        <v>9</v>
      </c>
      <c r="G545">
        <v>4883.866</v>
      </c>
    </row>
    <row r="546" spans="1:7" x14ac:dyDescent="0.3">
      <c r="A546">
        <v>39</v>
      </c>
      <c r="B546" t="s">
        <v>7</v>
      </c>
      <c r="C546">
        <v>32.799999999999997</v>
      </c>
      <c r="D546">
        <v>0</v>
      </c>
      <c r="E546" t="s">
        <v>11</v>
      </c>
      <c r="F546" t="s">
        <v>9</v>
      </c>
      <c r="G546">
        <v>5649.7150000000001</v>
      </c>
    </row>
    <row r="547" spans="1:7" x14ac:dyDescent="0.3">
      <c r="A547">
        <v>63</v>
      </c>
      <c r="B547" t="s">
        <v>7</v>
      </c>
      <c r="C547">
        <v>31.8</v>
      </c>
      <c r="D547">
        <v>0</v>
      </c>
      <c r="E547" t="s">
        <v>11</v>
      </c>
      <c r="F547" t="s">
        <v>9</v>
      </c>
      <c r="G547">
        <v>13880.949000000001</v>
      </c>
    </row>
    <row r="548" spans="1:7" x14ac:dyDescent="0.3">
      <c r="A548">
        <v>45</v>
      </c>
      <c r="B548" t="s">
        <v>7</v>
      </c>
      <c r="C548">
        <v>30.9</v>
      </c>
      <c r="D548">
        <v>2</v>
      </c>
      <c r="E548" t="s">
        <v>11</v>
      </c>
      <c r="F548" t="s">
        <v>9</v>
      </c>
      <c r="G548">
        <v>8520.0259999999998</v>
      </c>
    </row>
    <row r="549" spans="1:7" x14ac:dyDescent="0.3">
      <c r="A549">
        <v>41</v>
      </c>
      <c r="B549" t="s">
        <v>7</v>
      </c>
      <c r="C549">
        <v>37.1</v>
      </c>
      <c r="D549">
        <v>2</v>
      </c>
      <c r="E549" t="s">
        <v>11</v>
      </c>
      <c r="F549" t="s">
        <v>9</v>
      </c>
      <c r="G549">
        <v>7371.7719999999999</v>
      </c>
    </row>
    <row r="550" spans="1:7" x14ac:dyDescent="0.3">
      <c r="A550">
        <v>41</v>
      </c>
      <c r="B550" t="s">
        <v>7</v>
      </c>
      <c r="C550">
        <v>32.6</v>
      </c>
      <c r="D550">
        <v>3</v>
      </c>
      <c r="E550" t="s">
        <v>11</v>
      </c>
      <c r="F550" t="s">
        <v>9</v>
      </c>
      <c r="G550">
        <v>7954.5169999999998</v>
      </c>
    </row>
    <row r="551" spans="1:7" x14ac:dyDescent="0.3">
      <c r="A551">
        <v>34</v>
      </c>
      <c r="B551" t="s">
        <v>7</v>
      </c>
      <c r="C551">
        <v>33.700000000000003</v>
      </c>
      <c r="D551">
        <v>1</v>
      </c>
      <c r="E551" t="s">
        <v>11</v>
      </c>
      <c r="F551" t="s">
        <v>9</v>
      </c>
      <c r="G551">
        <v>5012.4709999999995</v>
      </c>
    </row>
    <row r="552" spans="1:7" x14ac:dyDescent="0.3">
      <c r="A552">
        <v>44</v>
      </c>
      <c r="B552" t="s">
        <v>7</v>
      </c>
      <c r="C552">
        <v>25</v>
      </c>
      <c r="D552">
        <v>1</v>
      </c>
      <c r="E552" t="s">
        <v>11</v>
      </c>
      <c r="F552" t="s">
        <v>9</v>
      </c>
      <c r="G552">
        <v>7623.518</v>
      </c>
    </row>
    <row r="553" spans="1:7" x14ac:dyDescent="0.3">
      <c r="A553">
        <v>19</v>
      </c>
      <c r="B553" t="s">
        <v>7</v>
      </c>
      <c r="C553">
        <v>17.8</v>
      </c>
      <c r="D553">
        <v>0</v>
      </c>
      <c r="E553" t="s">
        <v>11</v>
      </c>
      <c r="F553" t="s">
        <v>9</v>
      </c>
      <c r="G553">
        <v>1727.7850000000001</v>
      </c>
    </row>
    <row r="554" spans="1:7" x14ac:dyDescent="0.3">
      <c r="A554">
        <v>19</v>
      </c>
      <c r="B554" t="s">
        <v>7</v>
      </c>
      <c r="C554">
        <v>18.600000000000001</v>
      </c>
      <c r="D554">
        <v>0</v>
      </c>
      <c r="E554" t="s">
        <v>11</v>
      </c>
      <c r="F554" t="s">
        <v>9</v>
      </c>
      <c r="G554">
        <v>1728.8969999999999</v>
      </c>
    </row>
    <row r="555" spans="1:7" x14ac:dyDescent="0.3">
      <c r="A555">
        <v>55</v>
      </c>
      <c r="B555" t="s">
        <v>7</v>
      </c>
      <c r="C555">
        <v>26.8</v>
      </c>
      <c r="D555">
        <v>1</v>
      </c>
      <c r="E555" t="s">
        <v>11</v>
      </c>
      <c r="F555" t="s">
        <v>9</v>
      </c>
      <c r="G555">
        <v>35160.134570000002</v>
      </c>
    </row>
    <row r="556" spans="1:7" x14ac:dyDescent="0.3">
      <c r="A556">
        <v>58</v>
      </c>
      <c r="B556" t="s">
        <v>7</v>
      </c>
      <c r="C556">
        <v>25.2</v>
      </c>
      <c r="D556">
        <v>0</v>
      </c>
      <c r="E556" t="s">
        <v>11</v>
      </c>
      <c r="F556" t="s">
        <v>9</v>
      </c>
      <c r="G556">
        <v>11837.16</v>
      </c>
    </row>
    <row r="557" spans="1:7" x14ac:dyDescent="0.3">
      <c r="A557">
        <v>50</v>
      </c>
      <c r="B557" t="s">
        <v>7</v>
      </c>
      <c r="C557">
        <v>33.700000000000003</v>
      </c>
      <c r="D557">
        <v>4</v>
      </c>
      <c r="E557" t="s">
        <v>11</v>
      </c>
      <c r="F557" t="s">
        <v>9</v>
      </c>
      <c r="G557">
        <v>11299.343000000001</v>
      </c>
    </row>
    <row r="558" spans="1:7" x14ac:dyDescent="0.3">
      <c r="A558">
        <v>47</v>
      </c>
      <c r="B558" t="s">
        <v>7</v>
      </c>
      <c r="C558">
        <v>32</v>
      </c>
      <c r="D558">
        <v>1</v>
      </c>
      <c r="E558" t="s">
        <v>11</v>
      </c>
      <c r="F558" t="s">
        <v>9</v>
      </c>
      <c r="G558">
        <v>8551.3469999999998</v>
      </c>
    </row>
    <row r="559" spans="1:7" x14ac:dyDescent="0.3">
      <c r="A559">
        <v>22</v>
      </c>
      <c r="B559" t="s">
        <v>7</v>
      </c>
      <c r="C559">
        <v>24.3</v>
      </c>
      <c r="D559">
        <v>0</v>
      </c>
      <c r="E559" t="s">
        <v>11</v>
      </c>
      <c r="F559" t="s">
        <v>9</v>
      </c>
      <c r="G559">
        <v>2150.4690000000001</v>
      </c>
    </row>
    <row r="560" spans="1:7" x14ac:dyDescent="0.3">
      <c r="A560">
        <v>42</v>
      </c>
      <c r="B560" t="s">
        <v>7</v>
      </c>
      <c r="C560">
        <v>25.3</v>
      </c>
      <c r="D560">
        <v>1</v>
      </c>
      <c r="E560" t="s">
        <v>11</v>
      </c>
      <c r="F560" t="s">
        <v>9</v>
      </c>
      <c r="G560">
        <v>7045.4989999999998</v>
      </c>
    </row>
    <row r="561" spans="1:7" x14ac:dyDescent="0.3">
      <c r="A561">
        <v>29</v>
      </c>
      <c r="B561" t="s">
        <v>7</v>
      </c>
      <c r="C561">
        <v>25.6</v>
      </c>
      <c r="D561">
        <v>4</v>
      </c>
      <c r="E561" t="s">
        <v>11</v>
      </c>
      <c r="F561" t="s">
        <v>9</v>
      </c>
      <c r="G561">
        <v>5708.8670000000002</v>
      </c>
    </row>
    <row r="562" spans="1:7" x14ac:dyDescent="0.3">
      <c r="A562">
        <v>52</v>
      </c>
      <c r="B562" t="s">
        <v>7</v>
      </c>
      <c r="C562">
        <v>31.2</v>
      </c>
      <c r="D562">
        <v>0</v>
      </c>
      <c r="E562" t="s">
        <v>11</v>
      </c>
      <c r="F562" t="s">
        <v>9</v>
      </c>
      <c r="G562">
        <v>9625.92</v>
      </c>
    </row>
    <row r="563" spans="1:7" x14ac:dyDescent="0.3">
      <c r="A563">
        <v>48</v>
      </c>
      <c r="B563" t="s">
        <v>7</v>
      </c>
      <c r="C563">
        <v>28.9</v>
      </c>
      <c r="D563">
        <v>0</v>
      </c>
      <c r="E563" t="s">
        <v>11</v>
      </c>
      <c r="F563" t="s">
        <v>9</v>
      </c>
      <c r="G563">
        <v>8277.5229999999992</v>
      </c>
    </row>
    <row r="564" spans="1:7" x14ac:dyDescent="0.3">
      <c r="A564">
        <v>28</v>
      </c>
      <c r="B564" t="s">
        <v>7</v>
      </c>
      <c r="C564">
        <v>33.4</v>
      </c>
      <c r="D564">
        <v>0</v>
      </c>
      <c r="E564" t="s">
        <v>11</v>
      </c>
      <c r="F564" t="s">
        <v>9</v>
      </c>
      <c r="G564">
        <v>3172.018</v>
      </c>
    </row>
    <row r="565" spans="1:7" x14ac:dyDescent="0.3">
      <c r="A565">
        <v>28</v>
      </c>
      <c r="B565" t="s">
        <v>7</v>
      </c>
      <c r="C565">
        <v>25.8</v>
      </c>
      <c r="D565">
        <v>0</v>
      </c>
      <c r="E565" t="s">
        <v>11</v>
      </c>
      <c r="F565" t="s">
        <v>9</v>
      </c>
      <c r="G565">
        <v>3161.4540000000002</v>
      </c>
    </row>
    <row r="566" spans="1:7" x14ac:dyDescent="0.3">
      <c r="A566">
        <v>57</v>
      </c>
      <c r="B566" t="s">
        <v>7</v>
      </c>
      <c r="C566">
        <v>38</v>
      </c>
      <c r="D566">
        <v>2</v>
      </c>
      <c r="E566" t="s">
        <v>11</v>
      </c>
      <c r="F566" t="s">
        <v>9</v>
      </c>
      <c r="G566">
        <v>12646.207</v>
      </c>
    </row>
    <row r="567" spans="1:7" x14ac:dyDescent="0.3">
      <c r="A567">
        <v>54</v>
      </c>
      <c r="B567" t="s">
        <v>7</v>
      </c>
      <c r="C567">
        <v>23</v>
      </c>
      <c r="D567">
        <v>3</v>
      </c>
      <c r="E567" t="s">
        <v>11</v>
      </c>
      <c r="F567" t="s">
        <v>9</v>
      </c>
      <c r="G567">
        <v>12094.477999999999</v>
      </c>
    </row>
    <row r="568" spans="1:7" x14ac:dyDescent="0.3">
      <c r="A568">
        <v>28</v>
      </c>
      <c r="B568" t="s">
        <v>7</v>
      </c>
      <c r="C568">
        <v>27.5</v>
      </c>
      <c r="D568">
        <v>2</v>
      </c>
      <c r="E568" t="s">
        <v>11</v>
      </c>
      <c r="F568" t="s">
        <v>9</v>
      </c>
      <c r="G568">
        <v>20177.671129999999</v>
      </c>
    </row>
    <row r="569" spans="1:7" x14ac:dyDescent="0.3">
      <c r="A569">
        <v>19</v>
      </c>
      <c r="B569" t="s">
        <v>7</v>
      </c>
      <c r="C569">
        <v>24.7</v>
      </c>
      <c r="D569">
        <v>0</v>
      </c>
      <c r="E569" t="s">
        <v>11</v>
      </c>
      <c r="F569" t="s">
        <v>9</v>
      </c>
      <c r="G569">
        <v>1737.376</v>
      </c>
    </row>
    <row r="570" spans="1:7" x14ac:dyDescent="0.3">
      <c r="A570">
        <v>21</v>
      </c>
      <c r="B570" t="s">
        <v>7</v>
      </c>
      <c r="C570">
        <v>34.6</v>
      </c>
      <c r="D570">
        <v>0</v>
      </c>
      <c r="E570" t="s">
        <v>11</v>
      </c>
      <c r="F570" t="s">
        <v>9</v>
      </c>
      <c r="G570">
        <v>2020.1769999999999</v>
      </c>
    </row>
    <row r="571" spans="1:7" x14ac:dyDescent="0.3">
      <c r="A571">
        <v>26</v>
      </c>
      <c r="B571" t="s">
        <v>7</v>
      </c>
      <c r="C571">
        <v>34.200000000000003</v>
      </c>
      <c r="D571">
        <v>2</v>
      </c>
      <c r="E571" t="s">
        <v>11</v>
      </c>
      <c r="F571" t="s">
        <v>9</v>
      </c>
      <c r="G571">
        <v>3987.9259999999999</v>
      </c>
    </row>
    <row r="572" spans="1:7" x14ac:dyDescent="0.3">
      <c r="A572">
        <v>38</v>
      </c>
      <c r="B572" t="s">
        <v>7</v>
      </c>
      <c r="C572">
        <v>27.6</v>
      </c>
      <c r="D572">
        <v>0</v>
      </c>
      <c r="E572" t="s">
        <v>11</v>
      </c>
      <c r="F572" t="s">
        <v>9</v>
      </c>
      <c r="G572">
        <v>5383.5360000000001</v>
      </c>
    </row>
    <row r="573" spans="1:7" x14ac:dyDescent="0.3">
      <c r="A573">
        <v>48</v>
      </c>
      <c r="B573" t="s">
        <v>7</v>
      </c>
      <c r="C573">
        <v>22.8</v>
      </c>
      <c r="D573">
        <v>0</v>
      </c>
      <c r="E573" t="s">
        <v>11</v>
      </c>
      <c r="F573" t="s">
        <v>9</v>
      </c>
      <c r="G573">
        <v>8269.0439999999999</v>
      </c>
    </row>
    <row r="574" spans="1:7" x14ac:dyDescent="0.3">
      <c r="A574">
        <v>39</v>
      </c>
      <c r="B574" t="s">
        <v>7</v>
      </c>
      <c r="C574">
        <v>34.1</v>
      </c>
      <c r="D574">
        <v>3</v>
      </c>
      <c r="E574" t="s">
        <v>11</v>
      </c>
      <c r="F574" t="s">
        <v>9</v>
      </c>
      <c r="G574">
        <v>7418.5219999999999</v>
      </c>
    </row>
    <row r="575" spans="1:7" x14ac:dyDescent="0.3">
      <c r="A575">
        <v>24</v>
      </c>
      <c r="B575" t="s">
        <v>7</v>
      </c>
      <c r="C575">
        <v>27.6</v>
      </c>
      <c r="D575">
        <v>0</v>
      </c>
      <c r="E575" t="s">
        <v>11</v>
      </c>
      <c r="F575" t="s">
        <v>9</v>
      </c>
      <c r="G575">
        <v>18955.220170000001</v>
      </c>
    </row>
    <row r="576" spans="1:7" x14ac:dyDescent="0.3">
      <c r="A576">
        <v>50</v>
      </c>
      <c r="B576" t="s">
        <v>7</v>
      </c>
      <c r="C576">
        <v>31.6</v>
      </c>
      <c r="D576">
        <v>2</v>
      </c>
      <c r="E576" t="s">
        <v>11</v>
      </c>
      <c r="F576" t="s">
        <v>9</v>
      </c>
      <c r="G576">
        <v>10118.424000000001</v>
      </c>
    </row>
    <row r="577" spans="1:7" x14ac:dyDescent="0.3">
      <c r="A577">
        <v>26</v>
      </c>
      <c r="B577" t="s">
        <v>7</v>
      </c>
      <c r="C577">
        <v>19.8</v>
      </c>
      <c r="D577">
        <v>1</v>
      </c>
      <c r="E577" t="s">
        <v>11</v>
      </c>
      <c r="F577" t="s">
        <v>9</v>
      </c>
      <c r="G577">
        <v>3378.91</v>
      </c>
    </row>
    <row r="578" spans="1:7" x14ac:dyDescent="0.3">
      <c r="A578">
        <v>50</v>
      </c>
      <c r="B578" t="s">
        <v>7</v>
      </c>
      <c r="C578">
        <v>25.6</v>
      </c>
      <c r="D578">
        <v>0</v>
      </c>
      <c r="E578" t="s">
        <v>11</v>
      </c>
      <c r="F578" t="s">
        <v>9</v>
      </c>
      <c r="G578">
        <v>8932.0840000000007</v>
      </c>
    </row>
    <row r="579" spans="1:7" x14ac:dyDescent="0.3">
      <c r="A579">
        <v>30</v>
      </c>
      <c r="B579" t="s">
        <v>7</v>
      </c>
      <c r="C579">
        <v>27.7</v>
      </c>
      <c r="D579">
        <v>0</v>
      </c>
      <c r="E579" t="s">
        <v>11</v>
      </c>
      <c r="F579" t="s">
        <v>9</v>
      </c>
      <c r="G579">
        <v>3554.203</v>
      </c>
    </row>
    <row r="580" spans="1:7" x14ac:dyDescent="0.3">
      <c r="A580">
        <v>44</v>
      </c>
      <c r="B580" t="s">
        <v>7</v>
      </c>
      <c r="C580">
        <v>25.8</v>
      </c>
      <c r="D580">
        <v>1</v>
      </c>
      <c r="E580" t="s">
        <v>11</v>
      </c>
      <c r="F580" t="s">
        <v>9</v>
      </c>
      <c r="G580">
        <v>7624.63</v>
      </c>
    </row>
    <row r="581" spans="1:7" x14ac:dyDescent="0.3">
      <c r="A581">
        <v>19</v>
      </c>
      <c r="B581" t="s">
        <v>7</v>
      </c>
      <c r="C581">
        <v>40.5</v>
      </c>
      <c r="D581">
        <v>0</v>
      </c>
      <c r="E581" t="s">
        <v>11</v>
      </c>
      <c r="F581" t="s">
        <v>9</v>
      </c>
      <c r="G581">
        <v>1759.338</v>
      </c>
    </row>
    <row r="582" spans="1:7" x14ac:dyDescent="0.3">
      <c r="A582">
        <v>21</v>
      </c>
      <c r="B582" t="s">
        <v>7</v>
      </c>
      <c r="C582">
        <v>26.4</v>
      </c>
      <c r="D582">
        <v>1</v>
      </c>
      <c r="E582" t="s">
        <v>11</v>
      </c>
      <c r="F582" t="s">
        <v>9</v>
      </c>
      <c r="G582">
        <v>2597.779</v>
      </c>
    </row>
    <row r="583" spans="1:7" x14ac:dyDescent="0.3">
      <c r="A583">
        <v>29</v>
      </c>
      <c r="B583" t="s">
        <v>7</v>
      </c>
      <c r="C583">
        <v>25.9</v>
      </c>
      <c r="D583">
        <v>0</v>
      </c>
      <c r="E583" t="s">
        <v>11</v>
      </c>
      <c r="F583" t="s">
        <v>9</v>
      </c>
      <c r="G583">
        <v>3353.2840000000001</v>
      </c>
    </row>
    <row r="584" spans="1:7" x14ac:dyDescent="0.3">
      <c r="A584">
        <v>56</v>
      </c>
      <c r="B584" t="s">
        <v>7</v>
      </c>
      <c r="C584">
        <v>35.799999999999997</v>
      </c>
      <c r="D584">
        <v>1</v>
      </c>
      <c r="E584" t="s">
        <v>11</v>
      </c>
      <c r="F584" t="s">
        <v>9</v>
      </c>
      <c r="G584">
        <v>11674.13</v>
      </c>
    </row>
    <row r="585" spans="1:7" x14ac:dyDescent="0.3">
      <c r="A585">
        <v>59</v>
      </c>
      <c r="B585" t="s">
        <v>7</v>
      </c>
      <c r="C585">
        <v>27.5</v>
      </c>
      <c r="D585">
        <v>0</v>
      </c>
      <c r="E585" t="s">
        <v>11</v>
      </c>
      <c r="F585" t="s">
        <v>9</v>
      </c>
      <c r="G585">
        <v>12233.828</v>
      </c>
    </row>
    <row r="586" spans="1:7" x14ac:dyDescent="0.3">
      <c r="A586">
        <v>45</v>
      </c>
      <c r="B586" t="s">
        <v>7</v>
      </c>
      <c r="C586">
        <v>35.299999999999997</v>
      </c>
      <c r="D586">
        <v>0</v>
      </c>
      <c r="E586" t="s">
        <v>11</v>
      </c>
      <c r="F586" t="s">
        <v>9</v>
      </c>
      <c r="G586">
        <v>7348.1419999999998</v>
      </c>
    </row>
    <row r="587" spans="1:7" x14ac:dyDescent="0.3">
      <c r="A587">
        <v>39</v>
      </c>
      <c r="B587" t="s">
        <v>7</v>
      </c>
      <c r="C587">
        <v>32.5</v>
      </c>
      <c r="D587">
        <v>1</v>
      </c>
      <c r="E587" t="s">
        <v>11</v>
      </c>
      <c r="F587" t="s">
        <v>9</v>
      </c>
      <c r="G587">
        <v>6238.2979999999998</v>
      </c>
    </row>
    <row r="588" spans="1:7" x14ac:dyDescent="0.3">
      <c r="A588">
        <v>43</v>
      </c>
      <c r="B588" t="s">
        <v>7</v>
      </c>
      <c r="C588">
        <v>34.4</v>
      </c>
      <c r="D588">
        <v>3</v>
      </c>
      <c r="E588" t="s">
        <v>11</v>
      </c>
      <c r="F588" t="s">
        <v>9</v>
      </c>
      <c r="G588">
        <v>8522.0030000000006</v>
      </c>
    </row>
    <row r="589" spans="1:7" x14ac:dyDescent="0.3">
      <c r="A589">
        <v>57</v>
      </c>
      <c r="B589" t="s">
        <v>7</v>
      </c>
      <c r="C589">
        <v>20.100000000000001</v>
      </c>
      <c r="D589">
        <v>1</v>
      </c>
      <c r="E589" t="s">
        <v>11</v>
      </c>
      <c r="F589" t="s">
        <v>9</v>
      </c>
      <c r="G589">
        <v>12032.325999999999</v>
      </c>
    </row>
    <row r="590" spans="1:7" x14ac:dyDescent="0.3">
      <c r="A590">
        <v>19</v>
      </c>
      <c r="B590" t="s">
        <v>7</v>
      </c>
      <c r="C590">
        <v>23.4</v>
      </c>
      <c r="D590">
        <v>2</v>
      </c>
      <c r="E590" t="s">
        <v>11</v>
      </c>
      <c r="F590" t="s">
        <v>9</v>
      </c>
      <c r="G590">
        <v>2913.569</v>
      </c>
    </row>
    <row r="591" spans="1:7" x14ac:dyDescent="0.3">
      <c r="A591">
        <v>51</v>
      </c>
      <c r="B591" t="s">
        <v>7</v>
      </c>
      <c r="C591">
        <v>20.6</v>
      </c>
      <c r="D591">
        <v>0</v>
      </c>
      <c r="E591" t="s">
        <v>11</v>
      </c>
      <c r="F591" t="s">
        <v>9</v>
      </c>
      <c r="G591">
        <v>9264.7970000000005</v>
      </c>
    </row>
    <row r="592" spans="1:7" x14ac:dyDescent="0.3">
      <c r="A592">
        <v>62</v>
      </c>
      <c r="B592" t="s">
        <v>7</v>
      </c>
      <c r="C592">
        <v>33.200000000000003</v>
      </c>
      <c r="D592">
        <v>0</v>
      </c>
      <c r="E592" t="s">
        <v>11</v>
      </c>
      <c r="F592" t="s">
        <v>9</v>
      </c>
      <c r="G592">
        <v>13462.52</v>
      </c>
    </row>
    <row r="593" spans="1:7" x14ac:dyDescent="0.3">
      <c r="A593">
        <v>62</v>
      </c>
      <c r="B593" t="s">
        <v>7</v>
      </c>
      <c r="C593">
        <v>25</v>
      </c>
      <c r="D593">
        <v>0</v>
      </c>
      <c r="E593" t="s">
        <v>11</v>
      </c>
      <c r="F593" t="s">
        <v>9</v>
      </c>
      <c r="G593">
        <v>13451.121999999999</v>
      </c>
    </row>
    <row r="594" spans="1:7" x14ac:dyDescent="0.3">
      <c r="A594">
        <v>47</v>
      </c>
      <c r="B594" t="s">
        <v>7</v>
      </c>
      <c r="C594">
        <v>23.6</v>
      </c>
      <c r="D594">
        <v>1</v>
      </c>
      <c r="E594" t="s">
        <v>11</v>
      </c>
      <c r="F594" t="s">
        <v>9</v>
      </c>
      <c r="G594">
        <v>8539.6710000000003</v>
      </c>
    </row>
    <row r="595" spans="1:7" x14ac:dyDescent="0.3">
      <c r="A595">
        <v>61</v>
      </c>
      <c r="B595" t="s">
        <v>7</v>
      </c>
      <c r="C595">
        <v>28.2</v>
      </c>
      <c r="D595">
        <v>0</v>
      </c>
      <c r="E595" t="s">
        <v>11</v>
      </c>
      <c r="F595" t="s">
        <v>9</v>
      </c>
      <c r="G595">
        <v>13041.921</v>
      </c>
    </row>
    <row r="596" spans="1:7" x14ac:dyDescent="0.3">
      <c r="A596">
        <v>44</v>
      </c>
      <c r="B596" t="s">
        <v>7</v>
      </c>
      <c r="C596">
        <v>27.5</v>
      </c>
      <c r="D596">
        <v>1</v>
      </c>
      <c r="E596" t="s">
        <v>11</v>
      </c>
      <c r="F596" t="s">
        <v>9</v>
      </c>
      <c r="G596">
        <v>7626.9930000000004</v>
      </c>
    </row>
    <row r="597" spans="1:7" x14ac:dyDescent="0.3">
      <c r="A597">
        <v>60</v>
      </c>
      <c r="B597" t="s">
        <v>7</v>
      </c>
      <c r="C597">
        <v>35.1</v>
      </c>
      <c r="D597">
        <v>0</v>
      </c>
      <c r="E597" t="s">
        <v>11</v>
      </c>
      <c r="F597" t="s">
        <v>9</v>
      </c>
      <c r="G597">
        <v>12644.589</v>
      </c>
    </row>
    <row r="598" spans="1:7" x14ac:dyDescent="0.3">
      <c r="A598">
        <v>61</v>
      </c>
      <c r="B598" t="s">
        <v>7</v>
      </c>
      <c r="C598">
        <v>44</v>
      </c>
      <c r="D598">
        <v>0</v>
      </c>
      <c r="E598" t="s">
        <v>11</v>
      </c>
      <c r="F598" t="s">
        <v>9</v>
      </c>
      <c r="G598">
        <v>13063.883</v>
      </c>
    </row>
    <row r="599" spans="1:7" x14ac:dyDescent="0.3">
      <c r="A599">
        <v>60</v>
      </c>
      <c r="B599" t="s">
        <v>7</v>
      </c>
      <c r="C599">
        <v>30.5</v>
      </c>
      <c r="D599">
        <v>0</v>
      </c>
      <c r="E599" t="s">
        <v>11</v>
      </c>
      <c r="F599" t="s">
        <v>9</v>
      </c>
      <c r="G599">
        <v>12638.195</v>
      </c>
    </row>
    <row r="600" spans="1:7" x14ac:dyDescent="0.3">
      <c r="A600">
        <v>37</v>
      </c>
      <c r="B600" t="s">
        <v>7</v>
      </c>
      <c r="C600">
        <v>29.5</v>
      </c>
      <c r="D600">
        <v>2</v>
      </c>
      <c r="E600" t="s">
        <v>11</v>
      </c>
      <c r="F600" t="s">
        <v>9</v>
      </c>
      <c r="G600">
        <v>6311.9520000000002</v>
      </c>
    </row>
    <row r="601" spans="1:7" x14ac:dyDescent="0.3">
      <c r="A601">
        <v>49</v>
      </c>
      <c r="B601" t="s">
        <v>7</v>
      </c>
      <c r="C601">
        <v>27.1</v>
      </c>
      <c r="D601">
        <v>1</v>
      </c>
      <c r="E601" t="s">
        <v>11</v>
      </c>
      <c r="F601" t="s">
        <v>9</v>
      </c>
      <c r="G601">
        <v>26140.3603</v>
      </c>
    </row>
    <row r="602" spans="1:7" x14ac:dyDescent="0.3">
      <c r="A602">
        <v>45</v>
      </c>
      <c r="B602" t="s">
        <v>7</v>
      </c>
      <c r="C602">
        <v>33.1</v>
      </c>
      <c r="D602">
        <v>0</v>
      </c>
      <c r="E602" t="s">
        <v>11</v>
      </c>
      <c r="F602" t="s">
        <v>9</v>
      </c>
      <c r="G602">
        <v>7345.0839999999998</v>
      </c>
    </row>
    <row r="603" spans="1:7" x14ac:dyDescent="0.3">
      <c r="A603">
        <v>40</v>
      </c>
      <c r="B603" t="s">
        <v>7</v>
      </c>
      <c r="C603">
        <v>29.6</v>
      </c>
      <c r="D603">
        <v>0</v>
      </c>
      <c r="E603" t="s">
        <v>11</v>
      </c>
      <c r="F603" t="s">
        <v>9</v>
      </c>
      <c r="G603">
        <v>5910.9440000000004</v>
      </c>
    </row>
    <row r="604" spans="1:7" x14ac:dyDescent="0.3">
      <c r="A604">
        <v>25</v>
      </c>
      <c r="B604" t="s">
        <v>7</v>
      </c>
      <c r="C604">
        <v>24.3</v>
      </c>
      <c r="D604">
        <v>3</v>
      </c>
      <c r="E604" t="s">
        <v>11</v>
      </c>
      <c r="F604" t="s">
        <v>9</v>
      </c>
      <c r="G604">
        <v>4391.652</v>
      </c>
    </row>
    <row r="605" spans="1:7" x14ac:dyDescent="0.3">
      <c r="A605">
        <v>38</v>
      </c>
      <c r="B605" t="s">
        <v>7</v>
      </c>
      <c r="C605">
        <v>28</v>
      </c>
      <c r="D605">
        <v>3</v>
      </c>
      <c r="E605" t="s">
        <v>11</v>
      </c>
      <c r="F605" t="s">
        <v>9</v>
      </c>
      <c r="G605">
        <v>7151.0919999999996</v>
      </c>
    </row>
    <row r="606" spans="1:7" x14ac:dyDescent="0.3">
      <c r="A606">
        <v>20</v>
      </c>
      <c r="B606" t="s">
        <v>7</v>
      </c>
      <c r="C606">
        <v>29.6</v>
      </c>
      <c r="D606">
        <v>0</v>
      </c>
      <c r="E606" t="s">
        <v>11</v>
      </c>
      <c r="F606" t="s">
        <v>9</v>
      </c>
      <c r="G606">
        <v>1875.3440000000001</v>
      </c>
    </row>
    <row r="607" spans="1:7" x14ac:dyDescent="0.3">
      <c r="A607">
        <v>60</v>
      </c>
      <c r="B607" t="s">
        <v>7</v>
      </c>
      <c r="C607">
        <v>28.7</v>
      </c>
      <c r="D607">
        <v>1</v>
      </c>
      <c r="E607" t="s">
        <v>11</v>
      </c>
      <c r="F607" t="s">
        <v>9</v>
      </c>
      <c r="G607">
        <v>13224.692999999999</v>
      </c>
    </row>
    <row r="608" spans="1:7" x14ac:dyDescent="0.3">
      <c r="A608">
        <v>19</v>
      </c>
      <c r="B608" t="s">
        <v>7</v>
      </c>
      <c r="C608">
        <v>29.8</v>
      </c>
      <c r="D608">
        <v>0</v>
      </c>
      <c r="E608" t="s">
        <v>11</v>
      </c>
      <c r="F608" t="s">
        <v>9</v>
      </c>
      <c r="G608">
        <v>1744.4649999999999</v>
      </c>
    </row>
    <row r="609" spans="1:7" x14ac:dyDescent="0.3">
      <c r="A609">
        <v>27</v>
      </c>
      <c r="B609" t="s">
        <v>7</v>
      </c>
      <c r="C609">
        <v>24.1</v>
      </c>
      <c r="D609">
        <v>0</v>
      </c>
      <c r="E609" t="s">
        <v>11</v>
      </c>
      <c r="F609" t="s">
        <v>9</v>
      </c>
      <c r="G609">
        <v>2974.1260000000002</v>
      </c>
    </row>
    <row r="610" spans="1:7" x14ac:dyDescent="0.3">
      <c r="A610">
        <v>51</v>
      </c>
      <c r="B610" t="s">
        <v>7</v>
      </c>
      <c r="C610">
        <v>34.200000000000003</v>
      </c>
      <c r="D610">
        <v>1</v>
      </c>
      <c r="E610" t="s">
        <v>11</v>
      </c>
      <c r="F610" t="s">
        <v>9</v>
      </c>
      <c r="G610">
        <v>9872.7009999999991</v>
      </c>
    </row>
    <row r="611" spans="1:7" x14ac:dyDescent="0.3">
      <c r="A611">
        <v>51</v>
      </c>
      <c r="B611" t="s">
        <v>7</v>
      </c>
      <c r="C611">
        <v>39.5</v>
      </c>
      <c r="D611">
        <v>1</v>
      </c>
      <c r="E611" t="s">
        <v>11</v>
      </c>
      <c r="F611" t="s">
        <v>9</v>
      </c>
      <c r="G611">
        <v>9880.0679999999993</v>
      </c>
    </row>
    <row r="612" spans="1:7" x14ac:dyDescent="0.3">
      <c r="A612">
        <v>19</v>
      </c>
      <c r="B612" t="s">
        <v>7</v>
      </c>
      <c r="C612">
        <v>32.9</v>
      </c>
      <c r="D612">
        <v>0</v>
      </c>
      <c r="E612" t="s">
        <v>11</v>
      </c>
      <c r="F612" t="s">
        <v>9</v>
      </c>
      <c r="G612">
        <v>1748.7739999999999</v>
      </c>
    </row>
    <row r="613" spans="1:7" x14ac:dyDescent="0.3">
      <c r="A613">
        <v>31</v>
      </c>
      <c r="B613" t="s">
        <v>7</v>
      </c>
      <c r="C613">
        <v>23.6</v>
      </c>
      <c r="D613">
        <v>2</v>
      </c>
      <c r="E613" t="s">
        <v>11</v>
      </c>
      <c r="F613" t="s">
        <v>9</v>
      </c>
      <c r="G613">
        <v>4931.6469999999999</v>
      </c>
    </row>
    <row r="614" spans="1:7" x14ac:dyDescent="0.3">
      <c r="A614">
        <v>62</v>
      </c>
      <c r="B614" t="s">
        <v>7</v>
      </c>
      <c r="C614">
        <v>39.200000000000003</v>
      </c>
      <c r="D614">
        <v>0</v>
      </c>
      <c r="E614" t="s">
        <v>11</v>
      </c>
      <c r="F614" t="s">
        <v>9</v>
      </c>
      <c r="G614">
        <v>13470.86</v>
      </c>
    </row>
    <row r="615" spans="1:7" x14ac:dyDescent="0.3">
      <c r="A615">
        <v>46</v>
      </c>
      <c r="B615" t="s">
        <v>7</v>
      </c>
      <c r="C615">
        <v>30.8</v>
      </c>
      <c r="D615">
        <v>3</v>
      </c>
      <c r="E615" t="s">
        <v>11</v>
      </c>
      <c r="F615" t="s">
        <v>9</v>
      </c>
      <c r="G615">
        <v>9414.92</v>
      </c>
    </row>
    <row r="616" spans="1:7" x14ac:dyDescent="0.3">
      <c r="A616">
        <v>57</v>
      </c>
      <c r="B616" t="s">
        <v>7</v>
      </c>
      <c r="C616">
        <v>28.7</v>
      </c>
      <c r="D616">
        <v>0</v>
      </c>
      <c r="E616" t="s">
        <v>11</v>
      </c>
      <c r="F616" t="s">
        <v>9</v>
      </c>
      <c r="G616">
        <v>11455.28</v>
      </c>
    </row>
    <row r="617" spans="1:7" x14ac:dyDescent="0.3">
      <c r="A617">
        <v>58</v>
      </c>
      <c r="B617" t="s">
        <v>7</v>
      </c>
      <c r="C617">
        <v>33.1</v>
      </c>
      <c r="D617">
        <v>0</v>
      </c>
      <c r="E617" t="s">
        <v>11</v>
      </c>
      <c r="F617" t="s">
        <v>9</v>
      </c>
      <c r="G617">
        <v>11848.141</v>
      </c>
    </row>
    <row r="618" spans="1:7" x14ac:dyDescent="0.3">
      <c r="A618">
        <v>35</v>
      </c>
      <c r="B618" t="s">
        <v>7</v>
      </c>
      <c r="C618">
        <v>31</v>
      </c>
      <c r="D618">
        <v>1</v>
      </c>
      <c r="E618" t="s">
        <v>11</v>
      </c>
      <c r="F618" t="s">
        <v>9</v>
      </c>
      <c r="G618">
        <v>5240.7650000000003</v>
      </c>
    </row>
    <row r="619" spans="1:7" x14ac:dyDescent="0.3">
      <c r="A619">
        <v>35</v>
      </c>
      <c r="B619" t="s">
        <v>7</v>
      </c>
      <c r="C619">
        <v>27.7</v>
      </c>
      <c r="D619">
        <v>3</v>
      </c>
      <c r="E619" t="s">
        <v>11</v>
      </c>
      <c r="F619" t="s">
        <v>9</v>
      </c>
      <c r="G619">
        <v>6414.1779999999999</v>
      </c>
    </row>
    <row r="620" spans="1:7" x14ac:dyDescent="0.3">
      <c r="A620">
        <v>51</v>
      </c>
      <c r="B620" t="s">
        <v>7</v>
      </c>
      <c r="C620">
        <v>25.8</v>
      </c>
      <c r="D620">
        <v>1</v>
      </c>
      <c r="E620" t="s">
        <v>11</v>
      </c>
      <c r="F620" t="s">
        <v>9</v>
      </c>
      <c r="G620">
        <v>9861.0249999999996</v>
      </c>
    </row>
    <row r="621" spans="1:7" x14ac:dyDescent="0.3">
      <c r="A621">
        <v>53</v>
      </c>
      <c r="B621" t="s">
        <v>7</v>
      </c>
      <c r="C621">
        <v>26.7</v>
      </c>
      <c r="D621">
        <v>2</v>
      </c>
      <c r="E621" t="s">
        <v>11</v>
      </c>
      <c r="F621" t="s">
        <v>9</v>
      </c>
      <c r="G621">
        <v>11150.78</v>
      </c>
    </row>
    <row r="622" spans="1:7" x14ac:dyDescent="0.3">
      <c r="A622">
        <v>64</v>
      </c>
      <c r="B622" t="s">
        <v>7</v>
      </c>
      <c r="C622">
        <v>39.700000000000003</v>
      </c>
      <c r="D622">
        <v>0</v>
      </c>
      <c r="E622" t="s">
        <v>11</v>
      </c>
      <c r="F622" t="s">
        <v>9</v>
      </c>
      <c r="G622">
        <v>14319.031000000001</v>
      </c>
    </row>
    <row r="623" spans="1:7" x14ac:dyDescent="0.3">
      <c r="A623">
        <v>33</v>
      </c>
      <c r="B623" t="s">
        <v>7</v>
      </c>
      <c r="C623">
        <v>38.9</v>
      </c>
      <c r="D623">
        <v>3</v>
      </c>
      <c r="E623" t="s">
        <v>11</v>
      </c>
      <c r="F623" t="s">
        <v>9</v>
      </c>
      <c r="G623">
        <v>5972.3779999999997</v>
      </c>
    </row>
    <row r="624" spans="1:7" x14ac:dyDescent="0.3">
      <c r="A624">
        <v>46</v>
      </c>
      <c r="B624" t="s">
        <v>7</v>
      </c>
      <c r="C624">
        <v>30.2</v>
      </c>
      <c r="D624">
        <v>2</v>
      </c>
      <c r="E624" t="s">
        <v>11</v>
      </c>
      <c r="F624" t="s">
        <v>9</v>
      </c>
      <c r="G624">
        <v>8825.0859999999993</v>
      </c>
    </row>
    <row r="625" spans="1:7" x14ac:dyDescent="0.3">
      <c r="A625">
        <v>42</v>
      </c>
      <c r="B625" t="s">
        <v>7</v>
      </c>
      <c r="C625">
        <v>29</v>
      </c>
      <c r="D625">
        <v>1</v>
      </c>
      <c r="E625" t="s">
        <v>11</v>
      </c>
      <c r="F625" t="s">
        <v>9</v>
      </c>
      <c r="G625">
        <v>7050.6419999999998</v>
      </c>
    </row>
    <row r="626" spans="1:7" x14ac:dyDescent="0.3">
      <c r="A626">
        <v>34</v>
      </c>
      <c r="B626" t="s">
        <v>7</v>
      </c>
      <c r="C626">
        <v>38</v>
      </c>
      <c r="D626">
        <v>3</v>
      </c>
      <c r="E626" t="s">
        <v>11</v>
      </c>
      <c r="F626" t="s">
        <v>9</v>
      </c>
      <c r="G626">
        <v>6196.4480000000003</v>
      </c>
    </row>
    <row r="627" spans="1:7" x14ac:dyDescent="0.3">
      <c r="A627">
        <v>54</v>
      </c>
      <c r="B627" t="s">
        <v>7</v>
      </c>
      <c r="C627">
        <v>46.7</v>
      </c>
      <c r="D627">
        <v>2</v>
      </c>
      <c r="E627" t="s">
        <v>11</v>
      </c>
      <c r="F627" t="s">
        <v>9</v>
      </c>
      <c r="G627">
        <v>11538.421</v>
      </c>
    </row>
    <row r="628" spans="1:7" x14ac:dyDescent="0.3">
      <c r="A628">
        <v>47</v>
      </c>
      <c r="B628" t="s">
        <v>7</v>
      </c>
      <c r="C628">
        <v>36</v>
      </c>
      <c r="D628">
        <v>1</v>
      </c>
      <c r="E628" t="s">
        <v>11</v>
      </c>
      <c r="F628" t="s">
        <v>9</v>
      </c>
      <c r="G628">
        <v>8556.9069999999992</v>
      </c>
    </row>
    <row r="629" spans="1:7" x14ac:dyDescent="0.3">
      <c r="A629">
        <v>49</v>
      </c>
      <c r="B629" t="s">
        <v>7</v>
      </c>
      <c r="C629">
        <v>31.9</v>
      </c>
      <c r="D629">
        <v>5</v>
      </c>
      <c r="E629" t="s">
        <v>11</v>
      </c>
      <c r="F629" t="s">
        <v>9</v>
      </c>
      <c r="G629">
        <v>11552.904</v>
      </c>
    </row>
    <row r="630" spans="1:7" x14ac:dyDescent="0.3">
      <c r="A630">
        <v>59</v>
      </c>
      <c r="B630" t="s">
        <v>7</v>
      </c>
      <c r="C630">
        <v>32.1</v>
      </c>
      <c r="D630">
        <v>3</v>
      </c>
      <c r="E630" t="s">
        <v>11</v>
      </c>
      <c r="F630" t="s">
        <v>9</v>
      </c>
      <c r="G630">
        <v>14007.222</v>
      </c>
    </row>
    <row r="631" spans="1:7" x14ac:dyDescent="0.3">
      <c r="A631">
        <v>31</v>
      </c>
      <c r="B631" t="s">
        <v>7</v>
      </c>
      <c r="C631">
        <v>29.1</v>
      </c>
      <c r="D631">
        <v>0</v>
      </c>
      <c r="E631" t="s">
        <v>11</v>
      </c>
      <c r="F631" t="s">
        <v>9</v>
      </c>
      <c r="G631">
        <v>3761.2919999999999</v>
      </c>
    </row>
    <row r="632" spans="1:7" x14ac:dyDescent="0.3">
      <c r="A632">
        <v>24</v>
      </c>
      <c r="B632" t="s">
        <v>7</v>
      </c>
      <c r="C632">
        <v>30.1</v>
      </c>
      <c r="D632">
        <v>3</v>
      </c>
      <c r="E632" t="s">
        <v>11</v>
      </c>
      <c r="F632" t="s">
        <v>9</v>
      </c>
      <c r="G632">
        <v>4234.9269999999997</v>
      </c>
    </row>
    <row r="633" spans="1:7" x14ac:dyDescent="0.3">
      <c r="A633">
        <v>58</v>
      </c>
      <c r="B633" t="s">
        <v>7</v>
      </c>
      <c r="C633">
        <v>29</v>
      </c>
      <c r="D633">
        <v>0</v>
      </c>
      <c r="E633" t="s">
        <v>11</v>
      </c>
      <c r="F633" t="s">
        <v>9</v>
      </c>
      <c r="G633">
        <v>11842.441999999999</v>
      </c>
    </row>
    <row r="634" spans="1:7" x14ac:dyDescent="0.3">
      <c r="A634">
        <v>24</v>
      </c>
      <c r="B634" t="s">
        <v>7</v>
      </c>
      <c r="C634">
        <v>22.6</v>
      </c>
      <c r="D634">
        <v>0</v>
      </c>
      <c r="E634" t="s">
        <v>11</v>
      </c>
      <c r="F634" t="s">
        <v>9</v>
      </c>
      <c r="G634">
        <v>2457.502</v>
      </c>
    </row>
    <row r="635" spans="1:7" x14ac:dyDescent="0.3">
      <c r="A635">
        <v>56</v>
      </c>
      <c r="B635" t="s">
        <v>7</v>
      </c>
      <c r="C635">
        <v>25.3</v>
      </c>
      <c r="D635">
        <v>0</v>
      </c>
      <c r="E635" t="s">
        <v>11</v>
      </c>
      <c r="F635" t="s">
        <v>9</v>
      </c>
      <c r="G635">
        <v>11070.535</v>
      </c>
    </row>
    <row r="636" spans="1:7" x14ac:dyDescent="0.3">
      <c r="A636">
        <v>38</v>
      </c>
      <c r="B636" t="s">
        <v>7</v>
      </c>
      <c r="C636">
        <v>34.799999999999997</v>
      </c>
      <c r="D636">
        <v>2</v>
      </c>
      <c r="E636" t="s">
        <v>11</v>
      </c>
      <c r="F636" t="s">
        <v>9</v>
      </c>
      <c r="G636">
        <v>6571.5439999999999</v>
      </c>
    </row>
    <row r="637" spans="1:7" x14ac:dyDescent="0.3">
      <c r="A637">
        <v>55</v>
      </c>
      <c r="B637" t="s">
        <v>7</v>
      </c>
      <c r="C637">
        <v>37.1</v>
      </c>
      <c r="D637">
        <v>0</v>
      </c>
      <c r="E637" t="s">
        <v>11</v>
      </c>
      <c r="F637" t="s">
        <v>9</v>
      </c>
      <c r="G637">
        <v>10713.644</v>
      </c>
    </row>
    <row r="638" spans="1:7" x14ac:dyDescent="0.3">
      <c r="A638">
        <v>49</v>
      </c>
      <c r="B638" t="s">
        <v>7</v>
      </c>
      <c r="C638">
        <v>21.3</v>
      </c>
      <c r="D638">
        <v>1</v>
      </c>
      <c r="E638" t="s">
        <v>11</v>
      </c>
      <c r="F638" t="s">
        <v>9</v>
      </c>
      <c r="G638">
        <v>9182.17</v>
      </c>
    </row>
    <row r="639" spans="1:7" x14ac:dyDescent="0.3">
      <c r="A639">
        <v>33</v>
      </c>
      <c r="B639" t="s">
        <v>7</v>
      </c>
      <c r="C639">
        <v>32.9</v>
      </c>
      <c r="D639">
        <v>2</v>
      </c>
      <c r="E639" t="s">
        <v>11</v>
      </c>
      <c r="F639" t="s">
        <v>9</v>
      </c>
      <c r="G639">
        <v>5375.0379999999996</v>
      </c>
    </row>
    <row r="640" spans="1:7" x14ac:dyDescent="0.3">
      <c r="A640">
        <v>27</v>
      </c>
      <c r="B640" t="s">
        <v>7</v>
      </c>
      <c r="C640">
        <v>34.799999999999997</v>
      </c>
      <c r="D640">
        <v>1</v>
      </c>
      <c r="E640" t="s">
        <v>11</v>
      </c>
      <c r="F640" t="s">
        <v>9</v>
      </c>
      <c r="G640">
        <v>3577.9989999999998</v>
      </c>
    </row>
    <row r="641" spans="1:7" x14ac:dyDescent="0.3">
      <c r="A641">
        <v>47</v>
      </c>
      <c r="B641" t="s">
        <v>7</v>
      </c>
      <c r="C641">
        <v>24.1</v>
      </c>
      <c r="D641">
        <v>1</v>
      </c>
      <c r="E641" t="s">
        <v>11</v>
      </c>
      <c r="F641" t="s">
        <v>9</v>
      </c>
      <c r="G641">
        <v>26236.579969999999</v>
      </c>
    </row>
    <row r="642" spans="1:7" x14ac:dyDescent="0.3">
      <c r="A642">
        <v>33</v>
      </c>
      <c r="B642" t="s">
        <v>7</v>
      </c>
      <c r="C642">
        <v>18.5</v>
      </c>
      <c r="D642">
        <v>1</v>
      </c>
      <c r="E642" t="s">
        <v>11</v>
      </c>
      <c r="F642" t="s">
        <v>9</v>
      </c>
      <c r="G642">
        <v>4766.0219999999999</v>
      </c>
    </row>
    <row r="643" spans="1:7" x14ac:dyDescent="0.3">
      <c r="A643">
        <v>21</v>
      </c>
      <c r="B643" t="s">
        <v>7</v>
      </c>
      <c r="C643">
        <v>17.399999999999999</v>
      </c>
      <c r="D643">
        <v>1</v>
      </c>
      <c r="E643" t="s">
        <v>11</v>
      </c>
      <c r="F643" t="s">
        <v>9</v>
      </c>
      <c r="G643">
        <v>2585.2689999999998</v>
      </c>
    </row>
    <row r="644" spans="1:7" x14ac:dyDescent="0.3">
      <c r="A644">
        <v>26</v>
      </c>
      <c r="B644" t="s">
        <v>7</v>
      </c>
      <c r="C644">
        <v>42.4</v>
      </c>
      <c r="D644">
        <v>1</v>
      </c>
      <c r="E644" t="s">
        <v>11</v>
      </c>
      <c r="F644" t="s">
        <v>9</v>
      </c>
      <c r="G644">
        <v>3410.3240000000001</v>
      </c>
    </row>
    <row r="645" spans="1:7" x14ac:dyDescent="0.3">
      <c r="A645">
        <v>19</v>
      </c>
      <c r="B645" t="s">
        <v>7</v>
      </c>
      <c r="C645">
        <v>27.9</v>
      </c>
      <c r="D645">
        <v>0</v>
      </c>
      <c r="E645" t="s">
        <v>8</v>
      </c>
      <c r="F645" t="s">
        <v>9</v>
      </c>
      <c r="G645">
        <v>16884.923999999999</v>
      </c>
    </row>
    <row r="646" spans="1:7" x14ac:dyDescent="0.3">
      <c r="A646">
        <v>19</v>
      </c>
      <c r="B646" t="s">
        <v>7</v>
      </c>
      <c r="C646">
        <v>34.700000000000003</v>
      </c>
      <c r="D646">
        <v>2</v>
      </c>
      <c r="E646" t="s">
        <v>8</v>
      </c>
      <c r="F646" t="s">
        <v>9</v>
      </c>
      <c r="G646">
        <v>36397.576000000001</v>
      </c>
    </row>
    <row r="647" spans="1:7" x14ac:dyDescent="0.3">
      <c r="A647">
        <v>25</v>
      </c>
      <c r="B647" t="s">
        <v>7</v>
      </c>
      <c r="C647">
        <v>30.2</v>
      </c>
      <c r="D647">
        <v>0</v>
      </c>
      <c r="E647" t="s">
        <v>8</v>
      </c>
      <c r="F647" t="s">
        <v>9</v>
      </c>
      <c r="G647">
        <v>33900.652999999998</v>
      </c>
    </row>
    <row r="648" spans="1:7" x14ac:dyDescent="0.3">
      <c r="A648">
        <v>37</v>
      </c>
      <c r="B648" t="s">
        <v>7</v>
      </c>
      <c r="C648">
        <v>34.799999999999997</v>
      </c>
      <c r="D648">
        <v>2</v>
      </c>
      <c r="E648" t="s">
        <v>8</v>
      </c>
      <c r="F648" t="s">
        <v>9</v>
      </c>
      <c r="G648">
        <v>39836.519</v>
      </c>
    </row>
    <row r="649" spans="1:7" x14ac:dyDescent="0.3">
      <c r="A649">
        <v>64</v>
      </c>
      <c r="B649" t="s">
        <v>7</v>
      </c>
      <c r="C649">
        <v>31.3</v>
      </c>
      <c r="D649">
        <v>2</v>
      </c>
      <c r="E649" t="s">
        <v>8</v>
      </c>
      <c r="F649" t="s">
        <v>9</v>
      </c>
      <c r="G649">
        <v>47291.055</v>
      </c>
    </row>
    <row r="650" spans="1:7" x14ac:dyDescent="0.3">
      <c r="A650">
        <v>20</v>
      </c>
      <c r="B650" t="s">
        <v>7</v>
      </c>
      <c r="C650">
        <v>21.8</v>
      </c>
      <c r="D650">
        <v>0</v>
      </c>
      <c r="E650" t="s">
        <v>8</v>
      </c>
      <c r="F650" t="s">
        <v>9</v>
      </c>
      <c r="G650">
        <v>20167.336029999999</v>
      </c>
    </row>
    <row r="651" spans="1:7" x14ac:dyDescent="0.3">
      <c r="A651">
        <v>46</v>
      </c>
      <c r="B651" t="s">
        <v>7</v>
      </c>
      <c r="C651">
        <v>34.6</v>
      </c>
      <c r="D651">
        <v>1</v>
      </c>
      <c r="E651" t="s">
        <v>8</v>
      </c>
      <c r="F651" t="s">
        <v>9</v>
      </c>
      <c r="G651">
        <v>41661.601999999999</v>
      </c>
    </row>
    <row r="652" spans="1:7" x14ac:dyDescent="0.3">
      <c r="A652">
        <v>19</v>
      </c>
      <c r="B652" t="s">
        <v>7</v>
      </c>
      <c r="C652">
        <v>28.3</v>
      </c>
      <c r="D652">
        <v>0</v>
      </c>
      <c r="E652" t="s">
        <v>8</v>
      </c>
      <c r="F652" t="s">
        <v>9</v>
      </c>
      <c r="G652">
        <v>17081.080000000002</v>
      </c>
    </row>
    <row r="653" spans="1:7" x14ac:dyDescent="0.3">
      <c r="A653">
        <v>43</v>
      </c>
      <c r="B653" t="s">
        <v>7</v>
      </c>
      <c r="C653">
        <v>26.7</v>
      </c>
      <c r="D653">
        <v>2</v>
      </c>
      <c r="E653" t="s">
        <v>8</v>
      </c>
      <c r="F653" t="s">
        <v>9</v>
      </c>
      <c r="G653">
        <v>22478.6</v>
      </c>
    </row>
    <row r="654" spans="1:7" x14ac:dyDescent="0.3">
      <c r="A654">
        <v>63</v>
      </c>
      <c r="B654" t="s">
        <v>7</v>
      </c>
      <c r="C654">
        <v>37.700000000000003</v>
      </c>
      <c r="D654">
        <v>0</v>
      </c>
      <c r="E654" t="s">
        <v>8</v>
      </c>
      <c r="F654" t="s">
        <v>9</v>
      </c>
      <c r="G654">
        <v>48824.45</v>
      </c>
    </row>
    <row r="655" spans="1:7" x14ac:dyDescent="0.3">
      <c r="A655">
        <v>23</v>
      </c>
      <c r="B655" t="s">
        <v>7</v>
      </c>
      <c r="C655">
        <v>31.4</v>
      </c>
      <c r="D655">
        <v>0</v>
      </c>
      <c r="E655" t="s">
        <v>8</v>
      </c>
      <c r="F655" t="s">
        <v>9</v>
      </c>
      <c r="G655">
        <v>34166.273000000001</v>
      </c>
    </row>
    <row r="656" spans="1:7" x14ac:dyDescent="0.3">
      <c r="A656">
        <v>63</v>
      </c>
      <c r="B656" t="s">
        <v>7</v>
      </c>
      <c r="C656">
        <v>32.200000000000003</v>
      </c>
      <c r="D656">
        <v>2</v>
      </c>
      <c r="E656" t="s">
        <v>8</v>
      </c>
      <c r="F656" t="s">
        <v>9</v>
      </c>
      <c r="G656">
        <v>47305.305</v>
      </c>
    </row>
    <row r="657" spans="1:7" x14ac:dyDescent="0.3">
      <c r="A657">
        <v>39</v>
      </c>
      <c r="B657" t="s">
        <v>7</v>
      </c>
      <c r="C657">
        <v>18.3</v>
      </c>
      <c r="D657">
        <v>5</v>
      </c>
      <c r="E657" t="s">
        <v>8</v>
      </c>
      <c r="F657" t="s">
        <v>9</v>
      </c>
      <c r="G657">
        <v>19023.259999999998</v>
      </c>
    </row>
    <row r="658" spans="1:7" x14ac:dyDescent="0.3">
      <c r="A658">
        <v>27</v>
      </c>
      <c r="B658" t="s">
        <v>7</v>
      </c>
      <c r="C658">
        <v>31.4</v>
      </c>
      <c r="D658">
        <v>0</v>
      </c>
      <c r="E658" t="s">
        <v>8</v>
      </c>
      <c r="F658" t="s">
        <v>9</v>
      </c>
      <c r="G658">
        <v>34838.873</v>
      </c>
    </row>
    <row r="659" spans="1:7" x14ac:dyDescent="0.3">
      <c r="A659">
        <v>64</v>
      </c>
      <c r="B659" t="s">
        <v>7</v>
      </c>
      <c r="C659">
        <v>33.799999999999997</v>
      </c>
      <c r="D659">
        <v>1</v>
      </c>
      <c r="E659" t="s">
        <v>8</v>
      </c>
      <c r="F659" t="s">
        <v>9</v>
      </c>
      <c r="G659">
        <v>47928.03</v>
      </c>
    </row>
    <row r="660" spans="1:7" x14ac:dyDescent="0.3">
      <c r="A660">
        <v>19</v>
      </c>
      <c r="B660" t="s">
        <v>7</v>
      </c>
      <c r="C660">
        <v>21.7</v>
      </c>
      <c r="D660">
        <v>0</v>
      </c>
      <c r="E660" t="s">
        <v>8</v>
      </c>
      <c r="F660" t="s">
        <v>9</v>
      </c>
      <c r="G660">
        <v>13844.505999999999</v>
      </c>
    </row>
    <row r="661" spans="1:7" x14ac:dyDescent="0.3">
      <c r="A661">
        <v>36</v>
      </c>
      <c r="B661" t="s">
        <v>7</v>
      </c>
      <c r="C661">
        <v>22.6</v>
      </c>
      <c r="D661">
        <v>2</v>
      </c>
      <c r="E661" t="s">
        <v>8</v>
      </c>
      <c r="F661" t="s">
        <v>9</v>
      </c>
      <c r="G661">
        <v>18608.261999999999</v>
      </c>
    </row>
    <row r="662" spans="1:7" x14ac:dyDescent="0.3">
      <c r="A662">
        <v>32</v>
      </c>
      <c r="B662" t="s">
        <v>7</v>
      </c>
      <c r="C662">
        <v>24.6</v>
      </c>
      <c r="D662">
        <v>0</v>
      </c>
      <c r="E662" t="s">
        <v>8</v>
      </c>
      <c r="F662" t="s">
        <v>9</v>
      </c>
      <c r="G662">
        <v>17496.306</v>
      </c>
    </row>
    <row r="663" spans="1:7" x14ac:dyDescent="0.3">
      <c r="A663">
        <v>33</v>
      </c>
      <c r="B663" t="s">
        <v>7</v>
      </c>
      <c r="C663">
        <v>33.5</v>
      </c>
      <c r="D663">
        <v>0</v>
      </c>
      <c r="E663" t="s">
        <v>8</v>
      </c>
      <c r="F663" t="s">
        <v>9</v>
      </c>
      <c r="G663">
        <v>37079.372000000003</v>
      </c>
    </row>
    <row r="664" spans="1:7" x14ac:dyDescent="0.3">
      <c r="A664">
        <v>37</v>
      </c>
      <c r="B664" t="s">
        <v>7</v>
      </c>
      <c r="C664">
        <v>47.6</v>
      </c>
      <c r="D664">
        <v>2</v>
      </c>
      <c r="E664" t="s">
        <v>8</v>
      </c>
      <c r="F664" t="s">
        <v>9</v>
      </c>
      <c r="G664">
        <v>46113.510999999999</v>
      </c>
    </row>
    <row r="665" spans="1:7" x14ac:dyDescent="0.3">
      <c r="A665">
        <v>50</v>
      </c>
      <c r="B665" t="s">
        <v>7</v>
      </c>
      <c r="C665">
        <v>27.6</v>
      </c>
      <c r="D665">
        <v>1</v>
      </c>
      <c r="E665" t="s">
        <v>8</v>
      </c>
      <c r="F665" t="s">
        <v>9</v>
      </c>
      <c r="G665">
        <v>24520.263999999999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5117-C0FD-44A5-8112-8495DB856258}">
  <dimension ref="A1:M1339"/>
  <sheetViews>
    <sheetView workbookViewId="0">
      <selection sqref="A1:G1339"/>
    </sheetView>
  </sheetViews>
  <sheetFormatPr defaultRowHeight="14.4" x14ac:dyDescent="0.3"/>
  <cols>
    <col min="9" max="9" width="15.77734375" customWidth="1"/>
    <col min="13" max="13" width="13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3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  <c r="I2" s="2" t="s">
        <v>15</v>
      </c>
    </row>
    <row r="3" spans="1:13" x14ac:dyDescent="0.3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  <c r="I3" s="3">
        <f>AVERAGE(A2:A1339)</f>
        <v>39.207025411061288</v>
      </c>
    </row>
    <row r="4" spans="1:13" x14ac:dyDescent="0.3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13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13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  <c r="I6" s="1" t="s">
        <v>16</v>
      </c>
    </row>
    <row r="7" spans="1:13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  <c r="I7" s="3">
        <f>MAX(G2:G1339)</f>
        <v>63770.428010000003</v>
      </c>
    </row>
    <row r="8" spans="1:13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  <c r="M8" s="1" t="s">
        <v>19</v>
      </c>
    </row>
    <row r="9" spans="1:13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13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  <c r="I10" s="1" t="s">
        <v>17</v>
      </c>
    </row>
    <row r="11" spans="1:13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  <c r="I11" s="3">
        <f>MIN(G2:G1339)</f>
        <v>1121.8739</v>
      </c>
    </row>
    <row r="12" spans="1:13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13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13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  <c r="I14" s="1" t="s">
        <v>18</v>
      </c>
    </row>
    <row r="15" spans="1:13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  <c r="I15" s="3">
        <f>AVERAGE(C2:C1339)</f>
        <v>30.663396860986538</v>
      </c>
    </row>
    <row r="16" spans="1:13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13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  <c r="I17" s="1" t="s">
        <v>20</v>
      </c>
    </row>
    <row r="18" spans="1:13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  <c r="I18" s="3">
        <f>COUNTIF(B2:B1339,"male")</f>
        <v>676</v>
      </c>
      <c r="M18" s="2" t="s">
        <v>22</v>
      </c>
    </row>
    <row r="19" spans="1:13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  <c r="I19" s="1" t="s">
        <v>21</v>
      </c>
    </row>
    <row r="20" spans="1:13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  <c r="I20" s="3">
        <f>COUNTIF(B2:B1339,"female")</f>
        <v>662</v>
      </c>
    </row>
    <row r="21" spans="1:13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13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  <c r="I22" s="1" t="s">
        <v>23</v>
      </c>
    </row>
    <row r="23" spans="1:13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  <c r="I23">
        <f>COUNTIF(E2:E1339,"yes")</f>
        <v>274</v>
      </c>
    </row>
    <row r="24" spans="1:13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  <c r="I24" s="4" t="s">
        <v>24</v>
      </c>
    </row>
    <row r="25" spans="1:13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  <c r="I25">
        <f>COUNTIF(E2:E1339,"no")</f>
        <v>1064</v>
      </c>
    </row>
    <row r="26" spans="1:13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13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13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13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13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13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13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3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 x14ac:dyDescent="0.3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3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3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3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3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 x14ac:dyDescent="0.3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 x14ac:dyDescent="0.3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 x14ac:dyDescent="0.3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3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3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 x14ac:dyDescent="0.3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3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 x14ac:dyDescent="0.3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3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 x14ac:dyDescent="0.3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3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 x14ac:dyDescent="0.3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3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 x14ac:dyDescent="0.3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3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 x14ac:dyDescent="0.3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3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3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 x14ac:dyDescent="0.3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3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 x14ac:dyDescent="0.3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 x14ac:dyDescent="0.3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 x14ac:dyDescent="0.3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3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3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3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 x14ac:dyDescent="0.3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 x14ac:dyDescent="0.3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3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3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 x14ac:dyDescent="0.3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3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3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3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3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3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3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 x14ac:dyDescent="0.3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 x14ac:dyDescent="0.3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 x14ac:dyDescent="0.3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 x14ac:dyDescent="0.3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3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3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 x14ac:dyDescent="0.3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3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3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3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 x14ac:dyDescent="0.3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3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 x14ac:dyDescent="0.3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 x14ac:dyDescent="0.3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 x14ac:dyDescent="0.3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 x14ac:dyDescent="0.3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3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3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 x14ac:dyDescent="0.3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 x14ac:dyDescent="0.3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 x14ac:dyDescent="0.3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3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 x14ac:dyDescent="0.3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 x14ac:dyDescent="0.3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 x14ac:dyDescent="0.3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 x14ac:dyDescent="0.3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 x14ac:dyDescent="0.3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3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3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3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3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3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3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3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 x14ac:dyDescent="0.3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 x14ac:dyDescent="0.3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 x14ac:dyDescent="0.3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3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3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 x14ac:dyDescent="0.3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3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3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3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3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 x14ac:dyDescent="0.3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 x14ac:dyDescent="0.3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3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3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 x14ac:dyDescent="0.3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3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3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3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 x14ac:dyDescent="0.3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3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 x14ac:dyDescent="0.3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3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 x14ac:dyDescent="0.3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3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3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3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 x14ac:dyDescent="0.3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3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 x14ac:dyDescent="0.3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 x14ac:dyDescent="0.3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3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3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3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 x14ac:dyDescent="0.3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3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 x14ac:dyDescent="0.3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 x14ac:dyDescent="0.3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3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 x14ac:dyDescent="0.3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 x14ac:dyDescent="0.3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3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 x14ac:dyDescent="0.3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3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3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 x14ac:dyDescent="0.3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3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 x14ac:dyDescent="0.3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 x14ac:dyDescent="0.3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3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3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 x14ac:dyDescent="0.3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 x14ac:dyDescent="0.3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 x14ac:dyDescent="0.3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3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3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 x14ac:dyDescent="0.3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 x14ac:dyDescent="0.3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3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3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 x14ac:dyDescent="0.3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 x14ac:dyDescent="0.3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 x14ac:dyDescent="0.3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 x14ac:dyDescent="0.3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 x14ac:dyDescent="0.3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3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3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3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 x14ac:dyDescent="0.3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3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 x14ac:dyDescent="0.3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 x14ac:dyDescent="0.3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 x14ac:dyDescent="0.3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3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3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3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3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 x14ac:dyDescent="0.3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3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 x14ac:dyDescent="0.3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3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3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 x14ac:dyDescent="0.3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3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 x14ac:dyDescent="0.3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3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 x14ac:dyDescent="0.3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3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 x14ac:dyDescent="0.3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 x14ac:dyDescent="0.3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3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 x14ac:dyDescent="0.3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3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 x14ac:dyDescent="0.3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3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 x14ac:dyDescent="0.3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 x14ac:dyDescent="0.3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3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 x14ac:dyDescent="0.3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 x14ac:dyDescent="0.3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 x14ac:dyDescent="0.3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3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 x14ac:dyDescent="0.3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3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 x14ac:dyDescent="0.3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3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3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 x14ac:dyDescent="0.3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 x14ac:dyDescent="0.3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 x14ac:dyDescent="0.3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3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3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3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 x14ac:dyDescent="0.3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3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3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 x14ac:dyDescent="0.3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 x14ac:dyDescent="0.3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 x14ac:dyDescent="0.3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3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 x14ac:dyDescent="0.3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 x14ac:dyDescent="0.3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3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 x14ac:dyDescent="0.3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3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3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3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3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3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3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 x14ac:dyDescent="0.3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 x14ac:dyDescent="0.3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 x14ac:dyDescent="0.3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3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3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3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 x14ac:dyDescent="0.3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3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 x14ac:dyDescent="0.3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 x14ac:dyDescent="0.3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3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 x14ac:dyDescent="0.3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3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 x14ac:dyDescent="0.3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3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3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3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3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3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 x14ac:dyDescent="0.3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 x14ac:dyDescent="0.3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 x14ac:dyDescent="0.3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3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 x14ac:dyDescent="0.3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3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 x14ac:dyDescent="0.3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3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 x14ac:dyDescent="0.3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3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3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 x14ac:dyDescent="0.3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3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 x14ac:dyDescent="0.3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 x14ac:dyDescent="0.3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3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 x14ac:dyDescent="0.3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3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3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 x14ac:dyDescent="0.3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 x14ac:dyDescent="0.3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3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 x14ac:dyDescent="0.3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 x14ac:dyDescent="0.3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 x14ac:dyDescent="0.3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3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 x14ac:dyDescent="0.3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 x14ac:dyDescent="0.3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 x14ac:dyDescent="0.3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 x14ac:dyDescent="0.3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3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3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 x14ac:dyDescent="0.3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 x14ac:dyDescent="0.3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 x14ac:dyDescent="0.3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3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 x14ac:dyDescent="0.3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3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3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 x14ac:dyDescent="0.3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3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3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3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3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 x14ac:dyDescent="0.3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 x14ac:dyDescent="0.3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 x14ac:dyDescent="0.3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 x14ac:dyDescent="0.3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 x14ac:dyDescent="0.3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 x14ac:dyDescent="0.3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3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3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 x14ac:dyDescent="0.3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3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3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3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3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 x14ac:dyDescent="0.3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 x14ac:dyDescent="0.3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3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3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3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3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 x14ac:dyDescent="0.3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3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3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3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3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3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 x14ac:dyDescent="0.3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 x14ac:dyDescent="0.3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3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3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3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3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3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 x14ac:dyDescent="0.3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 x14ac:dyDescent="0.3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 x14ac:dyDescent="0.3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 x14ac:dyDescent="0.3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3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 x14ac:dyDescent="0.3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 x14ac:dyDescent="0.3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3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 x14ac:dyDescent="0.3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 x14ac:dyDescent="0.3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3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 x14ac:dyDescent="0.3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3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 x14ac:dyDescent="0.3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3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 x14ac:dyDescent="0.3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 x14ac:dyDescent="0.3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3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 x14ac:dyDescent="0.3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 x14ac:dyDescent="0.3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3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 x14ac:dyDescent="0.3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3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3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 x14ac:dyDescent="0.3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 x14ac:dyDescent="0.3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3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3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3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 x14ac:dyDescent="0.3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 x14ac:dyDescent="0.3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 x14ac:dyDescent="0.3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3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 x14ac:dyDescent="0.3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3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 x14ac:dyDescent="0.3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 x14ac:dyDescent="0.3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3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3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3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3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3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 x14ac:dyDescent="0.3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3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 x14ac:dyDescent="0.3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3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3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3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3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3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3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3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3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3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3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 x14ac:dyDescent="0.3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 x14ac:dyDescent="0.3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3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3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3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3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 x14ac:dyDescent="0.3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 x14ac:dyDescent="0.3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3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3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3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 x14ac:dyDescent="0.3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 x14ac:dyDescent="0.3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3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 x14ac:dyDescent="0.3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3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 x14ac:dyDescent="0.3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3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 x14ac:dyDescent="0.3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3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3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 x14ac:dyDescent="0.3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 x14ac:dyDescent="0.3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 x14ac:dyDescent="0.3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 x14ac:dyDescent="0.3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3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3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 x14ac:dyDescent="0.3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 x14ac:dyDescent="0.3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3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 x14ac:dyDescent="0.3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 x14ac:dyDescent="0.3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 x14ac:dyDescent="0.3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3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3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 x14ac:dyDescent="0.3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 x14ac:dyDescent="0.3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3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3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 x14ac:dyDescent="0.3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3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3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 x14ac:dyDescent="0.3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3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 x14ac:dyDescent="0.3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 x14ac:dyDescent="0.3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3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 x14ac:dyDescent="0.3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 x14ac:dyDescent="0.3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3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 x14ac:dyDescent="0.3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 x14ac:dyDescent="0.3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 x14ac:dyDescent="0.3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 x14ac:dyDescent="0.3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3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 x14ac:dyDescent="0.3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3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3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 x14ac:dyDescent="0.3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 x14ac:dyDescent="0.3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3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3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 x14ac:dyDescent="0.3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 x14ac:dyDescent="0.3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 x14ac:dyDescent="0.3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3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3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3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 x14ac:dyDescent="0.3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 x14ac:dyDescent="0.3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 x14ac:dyDescent="0.3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 x14ac:dyDescent="0.3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 x14ac:dyDescent="0.3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 x14ac:dyDescent="0.3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3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3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3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 x14ac:dyDescent="0.3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3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 x14ac:dyDescent="0.3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 x14ac:dyDescent="0.3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3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 x14ac:dyDescent="0.3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 x14ac:dyDescent="0.3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3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3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3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3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3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3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 x14ac:dyDescent="0.3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 x14ac:dyDescent="0.3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3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 x14ac:dyDescent="0.3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 x14ac:dyDescent="0.3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3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 x14ac:dyDescent="0.3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 x14ac:dyDescent="0.3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 x14ac:dyDescent="0.3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3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3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 x14ac:dyDescent="0.3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 x14ac:dyDescent="0.3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 x14ac:dyDescent="0.3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 x14ac:dyDescent="0.3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 x14ac:dyDescent="0.3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 x14ac:dyDescent="0.3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3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 x14ac:dyDescent="0.3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 x14ac:dyDescent="0.3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 x14ac:dyDescent="0.3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3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 x14ac:dyDescent="0.3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3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 x14ac:dyDescent="0.3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 x14ac:dyDescent="0.3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 x14ac:dyDescent="0.3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3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 x14ac:dyDescent="0.3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 x14ac:dyDescent="0.3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3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3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3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 x14ac:dyDescent="0.3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3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3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3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 x14ac:dyDescent="0.3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3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3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3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 x14ac:dyDescent="0.3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 x14ac:dyDescent="0.3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3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3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 x14ac:dyDescent="0.3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 x14ac:dyDescent="0.3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 x14ac:dyDescent="0.3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 x14ac:dyDescent="0.3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3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3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 x14ac:dyDescent="0.3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3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3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3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 x14ac:dyDescent="0.3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 x14ac:dyDescent="0.3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3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 x14ac:dyDescent="0.3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3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 x14ac:dyDescent="0.3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 x14ac:dyDescent="0.3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3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3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3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 x14ac:dyDescent="0.3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3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 x14ac:dyDescent="0.3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3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 x14ac:dyDescent="0.3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 x14ac:dyDescent="0.3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3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 x14ac:dyDescent="0.3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3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 x14ac:dyDescent="0.3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3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3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3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3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3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 x14ac:dyDescent="0.3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 x14ac:dyDescent="0.3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3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3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 x14ac:dyDescent="0.3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3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3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 x14ac:dyDescent="0.3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 x14ac:dyDescent="0.3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3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 x14ac:dyDescent="0.3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3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3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 x14ac:dyDescent="0.3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3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3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 x14ac:dyDescent="0.3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 x14ac:dyDescent="0.3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 x14ac:dyDescent="0.3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 x14ac:dyDescent="0.3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3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3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3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3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3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3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 x14ac:dyDescent="0.3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 x14ac:dyDescent="0.3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 x14ac:dyDescent="0.3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 x14ac:dyDescent="0.3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3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 x14ac:dyDescent="0.3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3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 x14ac:dyDescent="0.3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3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3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3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3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3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 x14ac:dyDescent="0.3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3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 x14ac:dyDescent="0.3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3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3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 x14ac:dyDescent="0.3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 x14ac:dyDescent="0.3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3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 x14ac:dyDescent="0.3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 x14ac:dyDescent="0.3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 x14ac:dyDescent="0.3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3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 x14ac:dyDescent="0.3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 x14ac:dyDescent="0.3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3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 x14ac:dyDescent="0.3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3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3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 x14ac:dyDescent="0.3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 x14ac:dyDescent="0.3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 x14ac:dyDescent="0.3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3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3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3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 x14ac:dyDescent="0.3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 x14ac:dyDescent="0.3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3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3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 x14ac:dyDescent="0.3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 x14ac:dyDescent="0.3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3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 x14ac:dyDescent="0.3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3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 x14ac:dyDescent="0.3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3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 x14ac:dyDescent="0.3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 x14ac:dyDescent="0.3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3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 x14ac:dyDescent="0.3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3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 x14ac:dyDescent="0.3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 x14ac:dyDescent="0.3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 x14ac:dyDescent="0.3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 x14ac:dyDescent="0.3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3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 x14ac:dyDescent="0.3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 x14ac:dyDescent="0.3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 x14ac:dyDescent="0.3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 x14ac:dyDescent="0.3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 x14ac:dyDescent="0.3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 x14ac:dyDescent="0.3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 x14ac:dyDescent="0.3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3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 x14ac:dyDescent="0.3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3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 x14ac:dyDescent="0.3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 x14ac:dyDescent="0.3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 x14ac:dyDescent="0.3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 x14ac:dyDescent="0.3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3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 x14ac:dyDescent="0.3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3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3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 x14ac:dyDescent="0.3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3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 x14ac:dyDescent="0.3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3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 x14ac:dyDescent="0.3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3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 x14ac:dyDescent="0.3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 x14ac:dyDescent="0.3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3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3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3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 x14ac:dyDescent="0.3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 x14ac:dyDescent="0.3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3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3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3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 x14ac:dyDescent="0.3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3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 x14ac:dyDescent="0.3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3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3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 x14ac:dyDescent="0.3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 x14ac:dyDescent="0.3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3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 x14ac:dyDescent="0.3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3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3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 x14ac:dyDescent="0.3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 x14ac:dyDescent="0.3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 x14ac:dyDescent="0.3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 x14ac:dyDescent="0.3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3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3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3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 x14ac:dyDescent="0.3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3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3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3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3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3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3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 x14ac:dyDescent="0.3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 x14ac:dyDescent="0.3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3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3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3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3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3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 x14ac:dyDescent="0.3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 x14ac:dyDescent="0.3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 x14ac:dyDescent="0.3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 x14ac:dyDescent="0.3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 x14ac:dyDescent="0.3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3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3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3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 x14ac:dyDescent="0.3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3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3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 x14ac:dyDescent="0.3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3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3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 x14ac:dyDescent="0.3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 x14ac:dyDescent="0.3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3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3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3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3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 x14ac:dyDescent="0.3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 x14ac:dyDescent="0.3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 x14ac:dyDescent="0.3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 x14ac:dyDescent="0.3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3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 x14ac:dyDescent="0.3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 x14ac:dyDescent="0.3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3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3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 x14ac:dyDescent="0.3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 x14ac:dyDescent="0.3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3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3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3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 x14ac:dyDescent="0.3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3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3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 x14ac:dyDescent="0.3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 x14ac:dyDescent="0.3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3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 x14ac:dyDescent="0.3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3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 x14ac:dyDescent="0.3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 x14ac:dyDescent="0.3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3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 x14ac:dyDescent="0.3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3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3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 x14ac:dyDescent="0.3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3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 x14ac:dyDescent="0.3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 x14ac:dyDescent="0.3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3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3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 x14ac:dyDescent="0.3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 x14ac:dyDescent="0.3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3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3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 x14ac:dyDescent="0.3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 x14ac:dyDescent="0.3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3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3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 x14ac:dyDescent="0.3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 x14ac:dyDescent="0.3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 x14ac:dyDescent="0.3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 x14ac:dyDescent="0.3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3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3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 x14ac:dyDescent="0.3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 x14ac:dyDescent="0.3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 x14ac:dyDescent="0.3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3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 x14ac:dyDescent="0.3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3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3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3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3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 x14ac:dyDescent="0.3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 x14ac:dyDescent="0.3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3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3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8E66-9352-4CFD-85E8-EDE46154D9E7}">
  <dimension ref="A3:E17"/>
  <sheetViews>
    <sheetView workbookViewId="0">
      <selection activeCell="M8" sqref="M8"/>
    </sheetView>
  </sheetViews>
  <sheetFormatPr defaultRowHeight="14.4" x14ac:dyDescent="0.3"/>
  <cols>
    <col min="1" max="1" width="13.6640625" bestFit="1" customWidth="1"/>
    <col min="2" max="2" width="10.44140625" bestFit="1" customWidth="1"/>
    <col min="3" max="3" width="10.6640625" bestFit="1" customWidth="1"/>
    <col min="4" max="4" width="14.33203125" bestFit="1" customWidth="1"/>
    <col min="5" max="5" width="14" bestFit="1" customWidth="1"/>
  </cols>
  <sheetData>
    <row r="3" spans="1:5" x14ac:dyDescent="0.3">
      <c r="A3" s="5" t="s">
        <v>26</v>
      </c>
      <c r="B3" t="s">
        <v>25</v>
      </c>
      <c r="C3" t="s">
        <v>28</v>
      </c>
      <c r="D3" t="s">
        <v>29</v>
      </c>
      <c r="E3" t="s">
        <v>30</v>
      </c>
    </row>
    <row r="4" spans="1:5" x14ac:dyDescent="0.3">
      <c r="A4" s="6" t="s">
        <v>8</v>
      </c>
      <c r="B4" s="10">
        <v>10553</v>
      </c>
      <c r="C4" s="10">
        <v>8414.1150000000016</v>
      </c>
      <c r="D4" s="10">
        <v>305</v>
      </c>
      <c r="E4" s="10">
        <v>8781763.5218400005</v>
      </c>
    </row>
    <row r="5" spans="1:5" x14ac:dyDescent="0.3">
      <c r="A5" s="7" t="s">
        <v>14</v>
      </c>
      <c r="B5" s="10">
        <v>2562</v>
      </c>
      <c r="C5" s="10">
        <v>1913.87</v>
      </c>
      <c r="D5" s="10">
        <v>70</v>
      </c>
      <c r="E5" s="10">
        <v>1988126.9436799998</v>
      </c>
    </row>
    <row r="6" spans="1:5" x14ac:dyDescent="0.3">
      <c r="A6" s="8" t="s">
        <v>7</v>
      </c>
      <c r="B6" s="10">
        <v>1123</v>
      </c>
      <c r="C6" s="10">
        <v>790.59</v>
      </c>
      <c r="D6" s="10">
        <v>36</v>
      </c>
      <c r="E6" s="10">
        <v>812929.34552999982</v>
      </c>
    </row>
    <row r="7" spans="1:5" x14ac:dyDescent="0.3">
      <c r="A7" s="8" t="s">
        <v>10</v>
      </c>
      <c r="B7" s="10">
        <v>1439</v>
      </c>
      <c r="C7" s="10">
        <v>1123.2799999999997</v>
      </c>
      <c r="D7" s="10">
        <v>34</v>
      </c>
      <c r="E7" s="10">
        <v>1175197.59815</v>
      </c>
    </row>
    <row r="8" spans="1:5" x14ac:dyDescent="0.3">
      <c r="A8" s="7" t="s">
        <v>13</v>
      </c>
      <c r="B8" s="10">
        <v>2281</v>
      </c>
      <c r="C8" s="10">
        <v>1690.145</v>
      </c>
      <c r="D8" s="10">
        <v>74</v>
      </c>
      <c r="E8" s="10">
        <v>1751136.1845800001</v>
      </c>
    </row>
    <row r="9" spans="1:5" x14ac:dyDescent="0.3">
      <c r="A9" s="8" t="s">
        <v>7</v>
      </c>
      <c r="B9" s="10">
        <v>1126</v>
      </c>
      <c r="C9" s="10">
        <v>820.61</v>
      </c>
      <c r="D9" s="10">
        <v>24</v>
      </c>
      <c r="E9" s="10">
        <v>860453.92341999989</v>
      </c>
    </row>
    <row r="10" spans="1:5" x14ac:dyDescent="0.3">
      <c r="A10" s="8" t="s">
        <v>10</v>
      </c>
      <c r="B10" s="10">
        <v>1155</v>
      </c>
      <c r="C10" s="10">
        <v>869.53500000000008</v>
      </c>
      <c r="D10" s="10">
        <v>50</v>
      </c>
      <c r="E10" s="10">
        <v>890682.26116000023</v>
      </c>
    </row>
    <row r="11" spans="1:5" x14ac:dyDescent="0.3">
      <c r="A11" s="7" t="s">
        <v>12</v>
      </c>
      <c r="B11" s="10">
        <v>3616</v>
      </c>
      <c r="C11" s="10">
        <v>3011.8000000000011</v>
      </c>
      <c r="D11" s="10">
        <v>91</v>
      </c>
      <c r="E11" s="10">
        <v>3170894.7109500002</v>
      </c>
    </row>
    <row r="12" spans="1:5" x14ac:dyDescent="0.3">
      <c r="A12" s="8" t="s">
        <v>7</v>
      </c>
      <c r="B12" s="10">
        <v>1413</v>
      </c>
      <c r="C12" s="10">
        <v>1161.0500000000002</v>
      </c>
      <c r="D12" s="10">
        <v>34</v>
      </c>
      <c r="E12" s="10">
        <v>1189253.5457899999</v>
      </c>
    </row>
    <row r="13" spans="1:5" x14ac:dyDescent="0.3">
      <c r="A13" s="8" t="s">
        <v>10</v>
      </c>
      <c r="B13" s="10">
        <v>2203</v>
      </c>
      <c r="C13" s="10">
        <v>1850.7500000000007</v>
      </c>
      <c r="D13" s="10">
        <v>57</v>
      </c>
      <c r="E13" s="10">
        <v>1981641.1651600001</v>
      </c>
    </row>
    <row r="14" spans="1:5" x14ac:dyDescent="0.3">
      <c r="A14" s="7" t="s">
        <v>9</v>
      </c>
      <c r="B14" s="10">
        <v>2094</v>
      </c>
      <c r="C14" s="10">
        <v>1798.3000000000002</v>
      </c>
      <c r="D14" s="10">
        <v>70</v>
      </c>
      <c r="E14" s="10">
        <v>1871605.6826300004</v>
      </c>
    </row>
    <row r="15" spans="1:5" x14ac:dyDescent="0.3">
      <c r="A15" s="8" t="s">
        <v>7</v>
      </c>
      <c r="B15" s="10">
        <v>778</v>
      </c>
      <c r="C15" s="10">
        <v>632.70000000000005</v>
      </c>
      <c r="D15" s="10">
        <v>22</v>
      </c>
      <c r="E15" s="10">
        <v>665447.75703000021</v>
      </c>
    </row>
    <row r="16" spans="1:5" x14ac:dyDescent="0.3">
      <c r="A16" s="8" t="s">
        <v>10</v>
      </c>
      <c r="B16" s="10">
        <v>1316</v>
      </c>
      <c r="C16" s="10">
        <v>1165.6000000000001</v>
      </c>
      <c r="D16" s="10">
        <v>48</v>
      </c>
      <c r="E16" s="10">
        <v>1206157.9256000002</v>
      </c>
    </row>
    <row r="17" spans="1:5" x14ac:dyDescent="0.3">
      <c r="A17" s="6" t="s">
        <v>27</v>
      </c>
      <c r="B17" s="10">
        <v>10553</v>
      </c>
      <c r="C17" s="10">
        <v>8414.1150000000016</v>
      </c>
      <c r="D17" s="10">
        <v>305</v>
      </c>
      <c r="E17" s="10">
        <v>8781763.5218400005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E8E5-AE5D-48FE-8B8E-D558ADDDDCD9}">
  <dimension ref="A1"/>
  <sheetViews>
    <sheetView tabSelected="1" workbookViewId="0">
      <selection activeCell="I10" sqref="I1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Detail1</vt:lpstr>
      <vt:lpstr>insurance project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Monishaa Sri .P</dc:creator>
  <cp:lastModifiedBy>monishaasrip8114@outlook.com</cp:lastModifiedBy>
  <dcterms:created xsi:type="dcterms:W3CDTF">2026-03-06T14:03:27Z</dcterms:created>
  <dcterms:modified xsi:type="dcterms:W3CDTF">2026-03-31T06:29:01Z</dcterms:modified>
</cp:coreProperties>
</file>